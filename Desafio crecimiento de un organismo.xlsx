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Documents\"/>
    </mc:Choice>
  </mc:AlternateContent>
  <xr:revisionPtr revIDLastSave="0" documentId="13_ncr:1_{2F67BF18-5722-489B-872E-0790307E1001}" xr6:coauthVersionLast="47" xr6:coauthVersionMax="47" xr10:uidLastSave="{00000000-0000-0000-0000-000000000000}"/>
  <bookViews>
    <workbookView xWindow="-108" yWindow="-108" windowWidth="23256" windowHeight="12456" activeTab="3" xr2:uid="{F16E2B76-8259-4190-9810-8AD2E75F4DEA}"/>
  </bookViews>
  <sheets>
    <sheet name="Euler" sheetId="1" r:id="rId1"/>
    <sheet name="Heun" sheetId="2" r:id="rId2"/>
    <sheet name="Exacto" sheetId="4" r:id="rId3"/>
    <sheet name="Conclusion" sheetId="3"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8" i="3" l="1"/>
  <c r="D17" i="3"/>
  <c r="D16" i="3"/>
  <c r="J27" i="2"/>
  <c r="F27" i="2"/>
  <c r="D28" i="2"/>
  <c r="D27" i="2"/>
  <c r="H27" i="2"/>
  <c r="I27" i="2" s="1"/>
  <c r="G27" i="2"/>
  <c r="G28" i="2"/>
  <c r="G29" i="2"/>
  <c r="G30" i="2"/>
  <c r="G31" i="2"/>
  <c r="G32" i="2"/>
  <c r="G33" i="2"/>
  <c r="G34" i="2"/>
  <c r="G35" i="2"/>
  <c r="G36" i="2"/>
  <c r="G37" i="2"/>
  <c r="G38" i="2"/>
  <c r="G39" i="2"/>
  <c r="G40" i="2"/>
  <c r="G41" i="2"/>
  <c r="G42" i="2"/>
  <c r="G43" i="2"/>
  <c r="G44" i="2"/>
  <c r="G45" i="2"/>
  <c r="G46" i="2"/>
  <c r="J26" i="2"/>
  <c r="H26" i="2"/>
  <c r="F26" i="2"/>
  <c r="I26" i="2"/>
  <c r="G26" i="2"/>
  <c r="C28" i="2"/>
  <c r="C29" i="2" s="1"/>
  <c r="C30" i="2" s="1"/>
  <c r="C31" i="2" s="1"/>
  <c r="C32" i="2" s="1"/>
  <c r="C33" i="2" s="1"/>
  <c r="C34" i="2" s="1"/>
  <c r="C35" i="2" s="1"/>
  <c r="C36" i="2" s="1"/>
  <c r="C37" i="2" s="1"/>
  <c r="C38" i="2" s="1"/>
  <c r="C39" i="2" s="1"/>
  <c r="C40" i="2" s="1"/>
  <c r="C41" i="2" s="1"/>
  <c r="C42" i="2" s="1"/>
  <c r="C43" i="2" s="1"/>
  <c r="C44" i="2" s="1"/>
  <c r="C45" i="2" s="1"/>
  <c r="C46" i="2" s="1"/>
  <c r="C27" i="2"/>
  <c r="E26" i="4"/>
  <c r="E27" i="4"/>
  <c r="E28" i="4"/>
  <c r="E29" i="4"/>
  <c r="E30" i="4"/>
  <c r="E31" i="4"/>
  <c r="E32" i="4"/>
  <c r="E33" i="4"/>
  <c r="E34" i="4"/>
  <c r="E35" i="4"/>
  <c r="E36" i="4"/>
  <c r="E37" i="4"/>
  <c r="E38" i="4"/>
  <c r="E39" i="4"/>
  <c r="E40" i="4"/>
  <c r="E41" i="4"/>
  <c r="E42" i="4"/>
  <c r="E43" i="4"/>
  <c r="E44" i="4"/>
  <c r="E45" i="4"/>
  <c r="E25" i="4"/>
  <c r="D27" i="4"/>
  <c r="D28" i="4"/>
  <c r="D29" i="4"/>
  <c r="D30" i="4"/>
  <c r="D31" i="4"/>
  <c r="D32" i="4"/>
  <c r="D33" i="4"/>
  <c r="D34" i="4"/>
  <c r="D35" i="4"/>
  <c r="D36" i="4"/>
  <c r="D37" i="4"/>
  <c r="D38" i="4"/>
  <c r="D39" i="4" s="1"/>
  <c r="D40" i="4" s="1"/>
  <c r="D41" i="4" s="1"/>
  <c r="D42" i="4" s="1"/>
  <c r="D43" i="4" s="1"/>
  <c r="D44" i="4" s="1"/>
  <c r="D45" i="4" s="1"/>
  <c r="D26" i="4"/>
  <c r="G21" i="1"/>
  <c r="E22" i="1"/>
  <c r="D39" i="1"/>
  <c r="D40" i="1"/>
  <c r="D31" i="1"/>
  <c r="D32" i="1"/>
  <c r="D33" i="1"/>
  <c r="D34" i="1"/>
  <c r="D35" i="1"/>
  <c r="D36" i="1"/>
  <c r="D37" i="1" s="1"/>
  <c r="D38" i="1" s="1"/>
  <c r="D22" i="1"/>
  <c r="D23" i="1"/>
  <c r="D24" i="1"/>
  <c r="D25" i="1"/>
  <c r="D26" i="1"/>
  <c r="D27" i="1"/>
  <c r="D28" i="1"/>
  <c r="D29" i="1"/>
  <c r="D30" i="1"/>
  <c r="D21" i="1"/>
  <c r="E21" i="1"/>
  <c r="G20" i="1"/>
  <c r="E17" i="3" l="1"/>
  <c r="F17" i="3" s="1"/>
  <c r="E18" i="3"/>
  <c r="F18" i="3" s="1"/>
  <c r="F28" i="2"/>
  <c r="H28" i="2" s="1"/>
  <c r="G22" i="1"/>
  <c r="E23" i="1" s="1"/>
  <c r="I28" i="2" l="1"/>
  <c r="J28" i="2" s="1"/>
  <c r="D29" i="2" s="1"/>
  <c r="G23" i="1"/>
  <c r="E24" i="1" s="1"/>
  <c r="F29" i="2" l="1"/>
  <c r="D30" i="2" s="1"/>
  <c r="H29" i="2"/>
  <c r="I29" i="2" s="1"/>
  <c r="J29" i="2" s="1"/>
  <c r="G24" i="1"/>
  <c r="E25" i="1" s="1"/>
  <c r="F30" i="2" l="1"/>
  <c r="H30" i="2" s="1"/>
  <c r="I30" i="2" s="1"/>
  <c r="J30" i="2" s="1"/>
  <c r="G25" i="1"/>
  <c r="E26" i="1" s="1"/>
  <c r="D31" i="2" l="1"/>
  <c r="G26" i="1"/>
  <c r="E27" i="1" s="1"/>
  <c r="F31" i="2" l="1"/>
  <c r="H31" i="2" s="1"/>
  <c r="I31" i="2" s="1"/>
  <c r="J31" i="2" s="1"/>
  <c r="G27" i="1"/>
  <c r="E28" i="1" s="1"/>
  <c r="D32" i="2" l="1"/>
  <c r="G28" i="1"/>
  <c r="E29" i="1" s="1"/>
  <c r="F32" i="2" l="1"/>
  <c r="G29" i="1"/>
  <c r="E30" i="1" s="1"/>
  <c r="H32" i="2" l="1"/>
  <c r="I32" i="2" s="1"/>
  <c r="J32" i="2" s="1"/>
  <c r="D33" i="2" s="1"/>
  <c r="G30" i="1"/>
  <c r="E31" i="1" s="1"/>
  <c r="F33" i="2" l="1"/>
  <c r="G31" i="1"/>
  <c r="E32" i="1" s="1"/>
  <c r="H33" i="2" l="1"/>
  <c r="I33" i="2" s="1"/>
  <c r="J33" i="2" s="1"/>
  <c r="D34" i="2" s="1"/>
  <c r="G32" i="1"/>
  <c r="E33" i="1" s="1"/>
  <c r="F34" i="2" l="1"/>
  <c r="G33" i="1"/>
  <c r="E34" i="1" s="1"/>
  <c r="H34" i="2" l="1"/>
  <c r="I34" i="2" s="1"/>
  <c r="J34" i="2" s="1"/>
  <c r="D35" i="2" s="1"/>
  <c r="G34" i="1"/>
  <c r="E35" i="1" s="1"/>
  <c r="F35" i="2" l="1"/>
  <c r="G35" i="1"/>
  <c r="E36" i="1" s="1"/>
  <c r="H35" i="2" l="1"/>
  <c r="I35" i="2" s="1"/>
  <c r="J35" i="2" s="1"/>
  <c r="D36" i="2" s="1"/>
  <c r="G36" i="1"/>
  <c r="E37" i="1" s="1"/>
  <c r="F36" i="2" l="1"/>
  <c r="G37" i="1"/>
  <c r="E38" i="1" s="1"/>
  <c r="H36" i="2" l="1"/>
  <c r="I36" i="2" s="1"/>
  <c r="J36" i="2" s="1"/>
  <c r="D37" i="2" s="1"/>
  <c r="G38" i="1"/>
  <c r="E39" i="1" s="1"/>
  <c r="F37" i="2" l="1"/>
  <c r="G39" i="1"/>
  <c r="E40" i="1" s="1"/>
  <c r="G40" i="1" s="1"/>
  <c r="H37" i="2" l="1"/>
  <c r="I37" i="2" s="1"/>
  <c r="J37" i="2" s="1"/>
  <c r="D38" i="2" s="1"/>
  <c r="F38" i="2" l="1"/>
  <c r="H38" i="2" l="1"/>
  <c r="I38" i="2" s="1"/>
  <c r="J38" i="2" s="1"/>
  <c r="D39" i="2" s="1"/>
  <c r="F39" i="2" l="1"/>
  <c r="H39" i="2" l="1"/>
  <c r="I39" i="2" s="1"/>
  <c r="J39" i="2" s="1"/>
  <c r="D40" i="2" s="1"/>
  <c r="F40" i="2" l="1"/>
  <c r="H40" i="2" l="1"/>
  <c r="I40" i="2" s="1"/>
  <c r="J40" i="2" s="1"/>
  <c r="D41" i="2" s="1"/>
  <c r="F41" i="2" l="1"/>
  <c r="H41" i="2" l="1"/>
  <c r="I41" i="2" s="1"/>
  <c r="J41" i="2" s="1"/>
  <c r="D42" i="2" s="1"/>
  <c r="F42" i="2" l="1"/>
  <c r="H42" i="2" l="1"/>
  <c r="I42" i="2" s="1"/>
  <c r="J42" i="2" s="1"/>
  <c r="D43" i="2" s="1"/>
  <c r="F43" i="2" l="1"/>
  <c r="H43" i="2" l="1"/>
  <c r="I43" i="2" s="1"/>
  <c r="J43" i="2" s="1"/>
  <c r="D44" i="2" s="1"/>
  <c r="F44" i="2" l="1"/>
  <c r="H44" i="2" l="1"/>
  <c r="I44" i="2" s="1"/>
  <c r="J44" i="2" s="1"/>
  <c r="D45" i="2" s="1"/>
  <c r="F45" i="2" l="1"/>
  <c r="H45" i="2" l="1"/>
  <c r="I45" i="2" s="1"/>
  <c r="J45" i="2" s="1"/>
  <c r="D46" i="2" s="1"/>
  <c r="F46" i="2" l="1"/>
  <c r="H46" i="2" s="1"/>
  <c r="I46" i="2" s="1"/>
  <c r="J46" i="2" s="1"/>
</calcChain>
</file>

<file path=xl/sharedStrings.xml><?xml version="1.0" encoding="utf-8"?>
<sst xmlns="http://schemas.openxmlformats.org/spreadsheetml/2006/main" count="39" uniqueCount="31">
  <si>
    <t>FUNCION</t>
  </si>
  <si>
    <t>METODO EULER</t>
  </si>
  <si>
    <t>#</t>
  </si>
  <si>
    <t>t</t>
  </si>
  <si>
    <t>m</t>
  </si>
  <si>
    <t>h</t>
  </si>
  <si>
    <t>f(t,m)</t>
  </si>
  <si>
    <t>METODO HEUN</t>
  </si>
  <si>
    <t>DATOS INICIALES</t>
  </si>
  <si>
    <t>t(dias)</t>
  </si>
  <si>
    <t>m_exacta(t)</t>
  </si>
  <si>
    <t>k1</t>
  </si>
  <si>
    <t>A</t>
  </si>
  <si>
    <t>h*k_1</t>
  </si>
  <si>
    <t>m+(h*k_1)</t>
  </si>
  <si>
    <t>B</t>
  </si>
  <si>
    <t>f(A,B)</t>
  </si>
  <si>
    <t>k2</t>
  </si>
  <si>
    <t>t_i+h</t>
  </si>
  <si>
    <t>Metodo</t>
  </si>
  <si>
    <t>Exacto</t>
  </si>
  <si>
    <t>Euler</t>
  </si>
  <si>
    <t>Heun</t>
  </si>
  <si>
    <t>Resultado</t>
  </si>
  <si>
    <t>Error Absoluto</t>
  </si>
  <si>
    <t>Error Relativo %</t>
  </si>
  <si>
    <t>-</t>
  </si>
  <si>
    <t>CONCLUSION</t>
  </si>
  <si>
    <t>Esto confirma que el método de Heun, proporciona una aproximación significativamente más precisa que Euler, especialmente en ecuaciones diferenciales de crecimiento no lineal. Por lo tanto, para intervalos grandes de integración o modelos sensibles al comportamiento de la pendiente, Heun constituye una alternativa más estable y exacta.</t>
  </si>
  <si>
    <t>Comparamos los resultado en ambos metodos con la solucion exacta</t>
  </si>
  <si>
    <r>
      <t xml:space="preserve">Al comparar los resultados obtenidos en los métodos de Euler y Heun con la solución exacta del modelo de crecimiento, se verifica que ambos métodos logran aproximar correctamente el valor real del crecimiento de la masa del organismo en t=400 días. Sin embargo, el método de Euler presenta un error relativo de </t>
    </r>
    <r>
      <rPr>
        <b/>
        <sz val="11"/>
        <color theme="1"/>
        <rFont val="Calibri"/>
        <family val="2"/>
        <scheme val="minor"/>
      </rPr>
      <t>0.11756 %</t>
    </r>
    <r>
      <rPr>
        <sz val="11"/>
        <color theme="1"/>
        <rFont val="Calibri"/>
        <family val="2"/>
        <scheme val="minor"/>
      </rPr>
      <t xml:space="preserve">, mientras que el método de Heun reduce dicho error a </t>
    </r>
    <r>
      <rPr>
        <b/>
        <sz val="11"/>
        <color theme="1"/>
        <rFont val="Calibri"/>
        <family val="2"/>
        <scheme val="minor"/>
      </rPr>
      <t>0.06579 %</t>
    </r>
    <r>
      <rPr>
        <sz val="11"/>
        <color theme="1"/>
        <rFont val="Calibri"/>
        <family val="2"/>
        <scheme val="minor"/>
      </rPr>
      <t>, prácticamente la mitad.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</si>
</sst>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theme="5"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center"/>
    </xf>
    <xf numFmtId="0" fontId="1" fillId="0" borderId="0" xfId="0" applyFont="1"/>
    <xf numFmtId="0" fontId="1" fillId="4" borderId="0" xfId="0" applyFont="1" applyFill="1"/>
    <xf numFmtId="0" fontId="1" fillId="5" borderId="0" xfId="0" applyFont="1" applyFill="1"/>
    <xf numFmtId="0" fontId="1" fillId="4" borderId="0" xfId="0" applyFont="1" applyFill="1" applyAlignment="1">
      <alignment horizontal="center"/>
    </xf>
    <xf numFmtId="0" fontId="1" fillId="0" borderId="0" xfId="0" applyFont="1" applyAlignment="1">
      <alignment horizontal="center"/>
    </xf>
    <xf numFmtId="0" fontId="1" fillId="4" borderId="0" xfId="0" applyFont="1" applyFill="1" applyAlignment="1">
      <alignment horizontal="center" wrapText="1"/>
    </xf>
    <xf numFmtId="0" fontId="0" fillId="6" borderId="0" xfId="0" applyFill="1"/>
    <xf numFmtId="0" fontId="0" fillId="3" borderId="0" xfId="0" applyFill="1"/>
    <xf numFmtId="0" fontId="0" fillId="0" borderId="0" xfId="0" applyAlignment="1">
      <alignment vertical="center" wrapText="1"/>
    </xf>
    <xf numFmtId="0" fontId="0" fillId="2" borderId="0" xfId="0" applyFill="1" applyAlignment="1">
      <alignment horizontal="center"/>
    </xf>
    <xf numFmtId="0" fontId="0" fillId="0" borderId="0" xfId="0" applyAlignment="1">
      <alignment horizontal="center"/>
    </xf>
    <xf numFmtId="0" fontId="0" fillId="3" borderId="0" xfId="0" applyFill="1" applyAlignment="1">
      <alignment horizont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Euler!$E$19</c:f>
              <c:strCache>
                <c:ptCount val="1"/>
                <c:pt idx="0">
                  <c:v>m</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Euler!$D$20:$D$40</c:f>
              <c:numCache>
                <c:formatCode>General</c:formatCode>
                <c:ptCount val="21"/>
                <c:pt idx="0">
                  <c:v>0</c:v>
                </c:pt>
                <c:pt idx="1">
                  <c:v>20</c:v>
                </c:pt>
                <c:pt idx="2">
                  <c:v>40</c:v>
                </c:pt>
                <c:pt idx="3">
                  <c:v>60</c:v>
                </c:pt>
                <c:pt idx="4">
                  <c:v>80</c:v>
                </c:pt>
                <c:pt idx="5">
                  <c:v>100</c:v>
                </c:pt>
                <c:pt idx="6">
                  <c:v>120</c:v>
                </c:pt>
                <c:pt idx="7">
                  <c:v>140</c:v>
                </c:pt>
                <c:pt idx="8">
                  <c:v>160</c:v>
                </c:pt>
                <c:pt idx="9">
                  <c:v>180</c:v>
                </c:pt>
                <c:pt idx="10">
                  <c:v>200</c:v>
                </c:pt>
                <c:pt idx="11">
                  <c:v>220</c:v>
                </c:pt>
                <c:pt idx="12">
                  <c:v>240</c:v>
                </c:pt>
                <c:pt idx="13">
                  <c:v>260</c:v>
                </c:pt>
                <c:pt idx="14">
                  <c:v>280</c:v>
                </c:pt>
                <c:pt idx="15">
                  <c:v>300</c:v>
                </c:pt>
                <c:pt idx="16">
                  <c:v>320</c:v>
                </c:pt>
                <c:pt idx="17">
                  <c:v>340</c:v>
                </c:pt>
                <c:pt idx="18">
                  <c:v>360</c:v>
                </c:pt>
                <c:pt idx="19">
                  <c:v>380</c:v>
                </c:pt>
                <c:pt idx="20">
                  <c:v>400</c:v>
                </c:pt>
              </c:numCache>
            </c:numRef>
          </c:xVal>
          <c:yVal>
            <c:numRef>
              <c:f>Euler!$E$20:$E$40</c:f>
              <c:numCache>
                <c:formatCode>General</c:formatCode>
                <c:ptCount val="21"/>
                <c:pt idx="0">
                  <c:v>1</c:v>
                </c:pt>
                <c:pt idx="1">
                  <c:v>5.5583131515191475</c:v>
                </c:pt>
                <c:pt idx="2">
                  <c:v>19.264900550537401</c:v>
                </c:pt>
                <c:pt idx="3">
                  <c:v>46.663912469412324</c:v>
                </c:pt>
                <c:pt idx="4">
                  <c:v>86.513245246540805</c:v>
                </c:pt>
                <c:pt idx="5">
                  <c:v>131.98966668863952</c:v>
                </c:pt>
                <c:pt idx="6">
                  <c:v>175.34674295854921</c:v>
                </c:pt>
                <c:pt idx="7">
                  <c:v>211.66924823473727</c:v>
                </c:pt>
                <c:pt idx="8">
                  <c:v>239.47040350011628</c:v>
                </c:pt>
                <c:pt idx="9">
                  <c:v>259.47899669775842</c:v>
                </c:pt>
                <c:pt idx="10">
                  <c:v>273.29879974247513</c:v>
                </c:pt>
                <c:pt idx="11">
                  <c:v>282.58874179305553</c:v>
                </c:pt>
                <c:pt idx="12">
                  <c:v>288.7241442823842</c:v>
                </c:pt>
                <c:pt idx="13">
                  <c:v>292.73000873297093</c:v>
                </c:pt>
                <c:pt idx="14">
                  <c:v>295.32621606314302</c:v>
                </c:pt>
                <c:pt idx="15">
                  <c:v>297.00084339152579</c:v>
                </c:pt>
                <c:pt idx="16">
                  <c:v>298.07773511044121</c:v>
                </c:pt>
                <c:pt idx="17">
                  <c:v>298.7688919085702</c:v>
                </c:pt>
                <c:pt idx="18">
                  <c:v>299.21192599327429</c:v>
                </c:pt>
                <c:pt idx="19">
                  <c:v>299.49568486466904</c:v>
                </c:pt>
                <c:pt idx="20">
                  <c:v>299.67733632459846</c:v>
                </c:pt>
              </c:numCache>
            </c:numRef>
          </c:yVal>
          <c:smooth val="0"/>
          <c:extLst>
            <c:ext xmlns:c16="http://schemas.microsoft.com/office/drawing/2014/chart" uri="{C3380CC4-5D6E-409C-BE32-E72D297353CC}">
              <c16:uniqueId val="{00000000-5EC0-4D3C-B252-438293DBB90C}"/>
            </c:ext>
          </c:extLst>
        </c:ser>
        <c:dLbls>
          <c:showLegendKey val="0"/>
          <c:showVal val="0"/>
          <c:showCatName val="0"/>
          <c:showSerName val="0"/>
          <c:showPercent val="0"/>
          <c:showBubbleSize val="0"/>
        </c:dLbls>
        <c:axId val="38327375"/>
        <c:axId val="38332175"/>
      </c:scatterChart>
      <c:valAx>
        <c:axId val="38327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8332175"/>
        <c:crosses val="autoZero"/>
        <c:crossBetween val="midCat"/>
      </c:valAx>
      <c:valAx>
        <c:axId val="38332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83273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Heun!$D$25</c:f>
              <c:strCache>
                <c:ptCount val="1"/>
                <c:pt idx="0">
                  <c:v>m</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Heun!$C$26:$C$46</c:f>
              <c:numCache>
                <c:formatCode>General</c:formatCode>
                <c:ptCount val="21"/>
                <c:pt idx="0">
                  <c:v>0</c:v>
                </c:pt>
                <c:pt idx="1">
                  <c:v>20</c:v>
                </c:pt>
                <c:pt idx="2">
                  <c:v>40</c:v>
                </c:pt>
                <c:pt idx="3">
                  <c:v>60</c:v>
                </c:pt>
                <c:pt idx="4">
                  <c:v>80</c:v>
                </c:pt>
                <c:pt idx="5">
                  <c:v>100</c:v>
                </c:pt>
                <c:pt idx="6">
                  <c:v>120</c:v>
                </c:pt>
                <c:pt idx="7">
                  <c:v>140</c:v>
                </c:pt>
                <c:pt idx="8">
                  <c:v>160</c:v>
                </c:pt>
                <c:pt idx="9">
                  <c:v>180</c:v>
                </c:pt>
                <c:pt idx="10">
                  <c:v>200</c:v>
                </c:pt>
                <c:pt idx="11">
                  <c:v>220</c:v>
                </c:pt>
                <c:pt idx="12">
                  <c:v>240</c:v>
                </c:pt>
                <c:pt idx="13">
                  <c:v>260</c:v>
                </c:pt>
                <c:pt idx="14">
                  <c:v>280</c:v>
                </c:pt>
                <c:pt idx="15">
                  <c:v>300</c:v>
                </c:pt>
                <c:pt idx="16">
                  <c:v>320</c:v>
                </c:pt>
                <c:pt idx="17">
                  <c:v>340</c:v>
                </c:pt>
                <c:pt idx="18">
                  <c:v>360</c:v>
                </c:pt>
                <c:pt idx="19">
                  <c:v>380</c:v>
                </c:pt>
                <c:pt idx="20">
                  <c:v>400</c:v>
                </c:pt>
              </c:numCache>
            </c:numRef>
          </c:xVal>
          <c:yVal>
            <c:numRef>
              <c:f>Heun!$D$26:$D$46</c:f>
              <c:numCache>
                <c:formatCode>General</c:formatCode>
                <c:ptCount val="21"/>
                <c:pt idx="0">
                  <c:v>1</c:v>
                </c:pt>
                <c:pt idx="1">
                  <c:v>10.132450275268699</c:v>
                </c:pt>
                <c:pt idx="2">
                  <c:v>36.599685065678457</c:v>
                </c:pt>
                <c:pt idx="3">
                  <c:v>77.164320408612213</c:v>
                </c:pt>
                <c:pt idx="4">
                  <c:v>121.82453832704002</c:v>
                </c:pt>
                <c:pt idx="5">
                  <c:v>163.07637089947025</c:v>
                </c:pt>
                <c:pt idx="6">
                  <c:v>197.58844524237935</c:v>
                </c:pt>
                <c:pt idx="7">
                  <c:v>224.80091474196951</c:v>
                </c:pt>
                <c:pt idx="8">
                  <c:v>245.47507145425195</c:v>
                </c:pt>
                <c:pt idx="9">
                  <c:v>260.80765995861259</c:v>
                </c:pt>
                <c:pt idx="10">
                  <c:v>271.99791156932747</c:v>
                </c:pt>
                <c:pt idx="11">
                  <c:v>280.07684337038171</c:v>
                </c:pt>
                <c:pt idx="12">
                  <c:v>285.86637065894377</c:v>
                </c:pt>
                <c:pt idx="13">
                  <c:v>289.99404560347352</c:v>
                </c:pt>
                <c:pt idx="14">
                  <c:v>292.92643140170611</c:v>
                </c:pt>
                <c:pt idx="15">
                  <c:v>295.00449002899592</c:v>
                </c:pt>
                <c:pt idx="16">
                  <c:v>296.4745656114751</c:v>
                </c:pt>
                <c:pt idx="17">
                  <c:v>297.51327094512931</c:v>
                </c:pt>
                <c:pt idx="18">
                  <c:v>298.24655719015891</c:v>
                </c:pt>
                <c:pt idx="19">
                  <c:v>298.76391809705342</c:v>
                </c:pt>
                <c:pt idx="20">
                  <c:v>299.12878127811155</c:v>
                </c:pt>
              </c:numCache>
            </c:numRef>
          </c:yVal>
          <c:smooth val="0"/>
          <c:extLst>
            <c:ext xmlns:c16="http://schemas.microsoft.com/office/drawing/2014/chart" uri="{C3380CC4-5D6E-409C-BE32-E72D297353CC}">
              <c16:uniqueId val="{00000000-71AE-433F-897A-F678842308E2}"/>
            </c:ext>
          </c:extLst>
        </c:ser>
        <c:dLbls>
          <c:showLegendKey val="0"/>
          <c:showVal val="0"/>
          <c:showCatName val="0"/>
          <c:showSerName val="0"/>
          <c:showPercent val="0"/>
          <c:showBubbleSize val="0"/>
        </c:dLbls>
        <c:axId val="1209409503"/>
        <c:axId val="1209416703"/>
      </c:scatterChart>
      <c:valAx>
        <c:axId val="1209409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09416703"/>
        <c:crosses val="autoZero"/>
        <c:crossBetween val="midCat"/>
      </c:valAx>
      <c:valAx>
        <c:axId val="1209416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094095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Exacto!$E$24</c:f>
              <c:strCache>
                <c:ptCount val="1"/>
                <c:pt idx="0">
                  <c:v>m_exacta(t)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Exacto!$D$25:$D$45</c:f>
              <c:numCache>
                <c:formatCode>General</c:formatCode>
                <c:ptCount val="21"/>
                <c:pt idx="0">
                  <c:v>0</c:v>
                </c:pt>
                <c:pt idx="1">
                  <c:v>20</c:v>
                </c:pt>
                <c:pt idx="2">
                  <c:v>40</c:v>
                </c:pt>
                <c:pt idx="3">
                  <c:v>60</c:v>
                </c:pt>
                <c:pt idx="4">
                  <c:v>80</c:v>
                </c:pt>
                <c:pt idx="5">
                  <c:v>100</c:v>
                </c:pt>
                <c:pt idx="6">
                  <c:v>120</c:v>
                </c:pt>
                <c:pt idx="7">
                  <c:v>140</c:v>
                </c:pt>
                <c:pt idx="8">
                  <c:v>160</c:v>
                </c:pt>
                <c:pt idx="9">
                  <c:v>180</c:v>
                </c:pt>
                <c:pt idx="10">
                  <c:v>200</c:v>
                </c:pt>
                <c:pt idx="11">
                  <c:v>220</c:v>
                </c:pt>
                <c:pt idx="12">
                  <c:v>240</c:v>
                </c:pt>
                <c:pt idx="13">
                  <c:v>260</c:v>
                </c:pt>
                <c:pt idx="14">
                  <c:v>280</c:v>
                </c:pt>
                <c:pt idx="15">
                  <c:v>300</c:v>
                </c:pt>
                <c:pt idx="16">
                  <c:v>320</c:v>
                </c:pt>
                <c:pt idx="17">
                  <c:v>340</c:v>
                </c:pt>
                <c:pt idx="18">
                  <c:v>360</c:v>
                </c:pt>
                <c:pt idx="19">
                  <c:v>380</c:v>
                </c:pt>
                <c:pt idx="20">
                  <c:v>400</c:v>
                </c:pt>
              </c:numCache>
            </c:numRef>
          </c:xVal>
          <c:yVal>
            <c:numRef>
              <c:f>Exacto!$E$25:$E$45</c:f>
              <c:numCache>
                <c:formatCode>General</c:formatCode>
                <c:ptCount val="21"/>
                <c:pt idx="0">
                  <c:v>1</c:v>
                </c:pt>
                <c:pt idx="1">
                  <c:v>14.66218192543435</c:v>
                </c:pt>
                <c:pt idx="2">
                  <c:v>47.414171381012579</c:v>
                </c:pt>
                <c:pt idx="3">
                  <c:v>91.097640206791112</c:v>
                </c:pt>
                <c:pt idx="4">
                  <c:v>135.83836700992958</c:v>
                </c:pt>
                <c:pt idx="5">
                  <c:v>175.60046114433572</c:v>
                </c:pt>
                <c:pt idx="6">
                  <c:v>208.09226689289258</c:v>
                </c:pt>
                <c:pt idx="7">
                  <c:v>233.2827329567624</c:v>
                </c:pt>
                <c:pt idx="8">
                  <c:v>252.15694606615767</c:v>
                </c:pt>
                <c:pt idx="9">
                  <c:v>265.98141977142052</c:v>
                </c:pt>
                <c:pt idx="10">
                  <c:v>275.953388230754</c:v>
                </c:pt>
                <c:pt idx="11">
                  <c:v>283.07177753248936</c:v>
                </c:pt>
                <c:pt idx="12">
                  <c:v>288.11690033091929</c:v>
                </c:pt>
                <c:pt idx="13">
                  <c:v>291.67498123996745</c:v>
                </c:pt>
                <c:pt idx="14">
                  <c:v>294.1757563830904</c:v>
                </c:pt>
                <c:pt idx="15">
                  <c:v>295.92924564874346</c:v>
                </c:pt>
                <c:pt idx="16">
                  <c:v>297.15672911573921</c:v>
                </c:pt>
                <c:pt idx="17">
                  <c:v>298.01501147462045</c:v>
                </c:pt>
                <c:pt idx="18">
                  <c:v>298.6146617495499</c:v>
                </c:pt>
                <c:pt idx="19">
                  <c:v>299.03338243464492</c:v>
                </c:pt>
                <c:pt idx="20">
                  <c:v>299.32565129174293</c:v>
                </c:pt>
              </c:numCache>
            </c:numRef>
          </c:yVal>
          <c:smooth val="0"/>
          <c:extLst>
            <c:ext xmlns:c16="http://schemas.microsoft.com/office/drawing/2014/chart" uri="{C3380CC4-5D6E-409C-BE32-E72D297353CC}">
              <c16:uniqueId val="{00000000-E1A4-4FD5-8E9C-04B212DBA33C}"/>
            </c:ext>
          </c:extLst>
        </c:ser>
        <c:dLbls>
          <c:showLegendKey val="0"/>
          <c:showVal val="0"/>
          <c:showCatName val="0"/>
          <c:showSerName val="0"/>
          <c:showPercent val="0"/>
          <c:showBubbleSize val="0"/>
        </c:dLbls>
        <c:axId val="1209407103"/>
        <c:axId val="1209408063"/>
      </c:scatterChart>
      <c:valAx>
        <c:axId val="1209407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09408063"/>
        <c:crosses val="autoZero"/>
        <c:crossBetween val="midCat"/>
      </c:valAx>
      <c:valAx>
        <c:axId val="120940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094071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chart" Target="../charts/chart2.xml"/><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jpeg"/><Relationship Id="rId5" Type="http://schemas.openxmlformats.org/officeDocument/2006/relationships/chart" Target="../charts/chart3.xml"/><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777240</xdr:colOff>
      <xdr:row>0</xdr:row>
      <xdr:rowOff>167640</xdr:rowOff>
    </xdr:from>
    <xdr:to>
      <xdr:col>9</xdr:col>
      <xdr:colOff>0</xdr:colOff>
      <xdr:row>10</xdr:row>
      <xdr:rowOff>124780</xdr:rowOff>
    </xdr:to>
    <xdr:pic>
      <xdr:nvPicPr>
        <xdr:cNvPr id="2" name="Imagen 1">
          <a:extLst>
            <a:ext uri="{FF2B5EF4-FFF2-40B4-BE49-F238E27FC236}">
              <a16:creationId xmlns:a16="http://schemas.microsoft.com/office/drawing/2014/main" id="{748FAA33-7567-BFC4-24C8-AAAC1D9F7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7240" y="167640"/>
          <a:ext cx="6355080" cy="1785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202161</xdr:colOff>
      <xdr:row>13</xdr:row>
      <xdr:rowOff>57501</xdr:rowOff>
    </xdr:from>
    <xdr:to>
      <xdr:col>4</xdr:col>
      <xdr:colOff>560302</xdr:colOff>
      <xdr:row>15</xdr:row>
      <xdr:rowOff>145304</xdr:rowOff>
    </xdr:to>
    <xdr:pic>
      <xdr:nvPicPr>
        <xdr:cNvPr id="3" name="Imagen 2">
          <a:extLst>
            <a:ext uri="{FF2B5EF4-FFF2-40B4-BE49-F238E27FC236}">
              <a16:creationId xmlns:a16="http://schemas.microsoft.com/office/drawing/2014/main" id="{35D2CD17-1267-FBCD-5A56-56CD1A473459}"/>
            </a:ext>
          </a:extLst>
        </xdr:cNvPr>
        <xdr:cNvPicPr>
          <a:picLocks noChangeAspect="1"/>
        </xdr:cNvPicPr>
      </xdr:nvPicPr>
      <xdr:blipFill rotWithShape="1">
        <a:blip xmlns:r="http://schemas.openxmlformats.org/officeDocument/2006/relationships" r:embed="rId2"/>
        <a:srcRect t="12761" b="7596"/>
        <a:stretch>
          <a:fillRect/>
        </a:stretch>
      </xdr:blipFill>
      <xdr:spPr>
        <a:xfrm>
          <a:off x="991055" y="2388325"/>
          <a:ext cx="2724823" cy="446391"/>
        </a:xfrm>
        <a:prstGeom prst="rect">
          <a:avLst/>
        </a:prstGeom>
      </xdr:spPr>
    </xdr:pic>
    <xdr:clientData/>
  </xdr:twoCellAnchor>
  <xdr:twoCellAnchor editAs="oneCell">
    <xdr:from>
      <xdr:col>5</xdr:col>
      <xdr:colOff>206189</xdr:colOff>
      <xdr:row>13</xdr:row>
      <xdr:rowOff>62753</xdr:rowOff>
    </xdr:from>
    <xdr:to>
      <xdr:col>8</xdr:col>
      <xdr:colOff>478300</xdr:colOff>
      <xdr:row>15</xdr:row>
      <xdr:rowOff>123323</xdr:rowOff>
    </xdr:to>
    <xdr:pic>
      <xdr:nvPicPr>
        <xdr:cNvPr id="4" name="Imagen 3">
          <a:extLst>
            <a:ext uri="{FF2B5EF4-FFF2-40B4-BE49-F238E27FC236}">
              <a16:creationId xmlns:a16="http://schemas.microsoft.com/office/drawing/2014/main" id="{133D93EA-039A-50E9-1804-268D1B85D65A}"/>
            </a:ext>
          </a:extLst>
        </xdr:cNvPr>
        <xdr:cNvPicPr>
          <a:picLocks noChangeAspect="1"/>
        </xdr:cNvPicPr>
      </xdr:nvPicPr>
      <xdr:blipFill>
        <a:blip xmlns:r="http://schemas.openxmlformats.org/officeDocument/2006/relationships" r:embed="rId3"/>
        <a:stretch>
          <a:fillRect/>
        </a:stretch>
      </xdr:blipFill>
      <xdr:spPr>
        <a:xfrm>
          <a:off x="4150660" y="2393577"/>
          <a:ext cx="2638793" cy="419158"/>
        </a:xfrm>
        <a:prstGeom prst="rect">
          <a:avLst/>
        </a:prstGeom>
      </xdr:spPr>
    </xdr:pic>
    <xdr:clientData/>
  </xdr:twoCellAnchor>
  <xdr:twoCellAnchor>
    <xdr:from>
      <xdr:col>7</xdr:col>
      <xdr:colOff>285750</xdr:colOff>
      <xdr:row>20</xdr:row>
      <xdr:rowOff>108177</xdr:rowOff>
    </xdr:from>
    <xdr:to>
      <xdr:col>13</xdr:col>
      <xdr:colOff>122464</xdr:colOff>
      <xdr:row>35</xdr:row>
      <xdr:rowOff>95931</xdr:rowOff>
    </xdr:to>
    <xdr:graphicFrame macro="">
      <xdr:nvGraphicFramePr>
        <xdr:cNvPr id="5" name="Gráfico 4">
          <a:extLst>
            <a:ext uri="{FF2B5EF4-FFF2-40B4-BE49-F238E27FC236}">
              <a16:creationId xmlns:a16="http://schemas.microsoft.com/office/drawing/2014/main" id="{6EFD5610-5151-5BE2-CD62-96FA98E73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xdr:colOff>
      <xdr:row>1</xdr:row>
      <xdr:rowOff>38100</xdr:rowOff>
    </xdr:from>
    <xdr:to>
      <xdr:col>8</xdr:col>
      <xdr:colOff>785949</xdr:colOff>
      <xdr:row>11</xdr:row>
      <xdr:rowOff>3404</xdr:rowOff>
    </xdr:to>
    <xdr:pic>
      <xdr:nvPicPr>
        <xdr:cNvPr id="2" name="Imagen 1">
          <a:extLst>
            <a:ext uri="{FF2B5EF4-FFF2-40B4-BE49-F238E27FC236}">
              <a16:creationId xmlns:a16="http://schemas.microsoft.com/office/drawing/2014/main" id="{4F6FEE24-4703-4B1F-B99C-AC1CCC0E8C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220980"/>
          <a:ext cx="6325689" cy="17941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42141</xdr:colOff>
      <xdr:row>15</xdr:row>
      <xdr:rowOff>148941</xdr:rowOff>
    </xdr:from>
    <xdr:to>
      <xdr:col>4</xdr:col>
      <xdr:colOff>718832</xdr:colOff>
      <xdr:row>18</xdr:row>
      <xdr:rowOff>106680</xdr:rowOff>
    </xdr:to>
    <xdr:pic>
      <xdr:nvPicPr>
        <xdr:cNvPr id="3" name="Imagen 2">
          <a:extLst>
            <a:ext uri="{FF2B5EF4-FFF2-40B4-BE49-F238E27FC236}">
              <a16:creationId xmlns:a16="http://schemas.microsoft.com/office/drawing/2014/main" id="{72415352-175D-4209-9A4B-AB8D0A7CDEB7}"/>
            </a:ext>
          </a:extLst>
        </xdr:cNvPr>
        <xdr:cNvPicPr>
          <a:picLocks noChangeAspect="1"/>
        </xdr:cNvPicPr>
      </xdr:nvPicPr>
      <xdr:blipFill rotWithShape="1">
        <a:blip xmlns:r="http://schemas.openxmlformats.org/officeDocument/2006/relationships" r:embed="rId2"/>
        <a:srcRect t="12761" b="7596"/>
        <a:stretch>
          <a:fillRect/>
        </a:stretch>
      </xdr:blipFill>
      <xdr:spPr>
        <a:xfrm>
          <a:off x="834621" y="2892141"/>
          <a:ext cx="3054131" cy="506379"/>
        </a:xfrm>
        <a:prstGeom prst="rect">
          <a:avLst/>
        </a:prstGeom>
      </xdr:spPr>
    </xdr:pic>
    <xdr:clientData/>
  </xdr:twoCellAnchor>
  <xdr:twoCellAnchor editAs="oneCell">
    <xdr:from>
      <xdr:col>5</xdr:col>
      <xdr:colOff>579120</xdr:colOff>
      <xdr:row>19</xdr:row>
      <xdr:rowOff>45720</xdr:rowOff>
    </xdr:from>
    <xdr:to>
      <xdr:col>8</xdr:col>
      <xdr:colOff>304800</xdr:colOff>
      <xdr:row>21</xdr:row>
      <xdr:rowOff>174351</xdr:rowOff>
    </xdr:to>
    <xdr:pic>
      <xdr:nvPicPr>
        <xdr:cNvPr id="5" name="Imagen 4">
          <a:extLst>
            <a:ext uri="{FF2B5EF4-FFF2-40B4-BE49-F238E27FC236}">
              <a16:creationId xmlns:a16="http://schemas.microsoft.com/office/drawing/2014/main" id="{99B6573D-E7DA-2813-C08D-CDF9268EEC8C}"/>
            </a:ext>
          </a:extLst>
        </xdr:cNvPr>
        <xdr:cNvPicPr>
          <a:picLocks noChangeAspect="1"/>
        </xdr:cNvPicPr>
      </xdr:nvPicPr>
      <xdr:blipFill>
        <a:blip xmlns:r="http://schemas.openxmlformats.org/officeDocument/2006/relationships" r:embed="rId3"/>
        <a:stretch>
          <a:fillRect/>
        </a:stretch>
      </xdr:blipFill>
      <xdr:spPr>
        <a:xfrm>
          <a:off x="4541520" y="3520440"/>
          <a:ext cx="2103120" cy="494391"/>
        </a:xfrm>
        <a:prstGeom prst="rect">
          <a:avLst/>
        </a:prstGeom>
      </xdr:spPr>
    </xdr:pic>
    <xdr:clientData/>
  </xdr:twoCellAnchor>
  <xdr:twoCellAnchor editAs="oneCell">
    <xdr:from>
      <xdr:col>5</xdr:col>
      <xdr:colOff>716280</xdr:colOff>
      <xdr:row>16</xdr:row>
      <xdr:rowOff>91440</xdr:rowOff>
    </xdr:from>
    <xdr:to>
      <xdr:col>8</xdr:col>
      <xdr:colOff>249836</xdr:colOff>
      <xdr:row>18</xdr:row>
      <xdr:rowOff>110684</xdr:rowOff>
    </xdr:to>
    <xdr:pic>
      <xdr:nvPicPr>
        <xdr:cNvPr id="6" name="Imagen 5">
          <a:extLst>
            <a:ext uri="{FF2B5EF4-FFF2-40B4-BE49-F238E27FC236}">
              <a16:creationId xmlns:a16="http://schemas.microsoft.com/office/drawing/2014/main" id="{0D3916DE-286A-5FB9-6A3B-1AEA82DCFAC3}"/>
            </a:ext>
          </a:extLst>
        </xdr:cNvPr>
        <xdr:cNvPicPr>
          <a:picLocks noChangeAspect="1"/>
        </xdr:cNvPicPr>
      </xdr:nvPicPr>
      <xdr:blipFill rotWithShape="1">
        <a:blip xmlns:r="http://schemas.openxmlformats.org/officeDocument/2006/relationships" r:embed="rId4"/>
        <a:srcRect l="4929" t="72319"/>
        <a:stretch>
          <a:fillRect/>
        </a:stretch>
      </xdr:blipFill>
      <xdr:spPr>
        <a:xfrm>
          <a:off x="4678680" y="3017520"/>
          <a:ext cx="1910996" cy="385004"/>
        </a:xfrm>
        <a:prstGeom prst="rect">
          <a:avLst/>
        </a:prstGeom>
      </xdr:spPr>
    </xdr:pic>
    <xdr:clientData/>
  </xdr:twoCellAnchor>
  <xdr:twoCellAnchor editAs="oneCell">
    <xdr:from>
      <xdr:col>6</xdr:col>
      <xdr:colOff>137160</xdr:colOff>
      <xdr:row>13</xdr:row>
      <xdr:rowOff>99060</xdr:rowOff>
    </xdr:from>
    <xdr:to>
      <xdr:col>8</xdr:col>
      <xdr:colOff>30480</xdr:colOff>
      <xdr:row>15</xdr:row>
      <xdr:rowOff>144780</xdr:rowOff>
    </xdr:to>
    <xdr:pic>
      <xdr:nvPicPr>
        <xdr:cNvPr id="7" name="Imagen 6">
          <a:extLst>
            <a:ext uri="{FF2B5EF4-FFF2-40B4-BE49-F238E27FC236}">
              <a16:creationId xmlns:a16="http://schemas.microsoft.com/office/drawing/2014/main" id="{FBCEC2BF-7509-4F0D-B90E-6CA270121570}"/>
            </a:ext>
          </a:extLst>
        </xdr:cNvPr>
        <xdr:cNvPicPr>
          <a:picLocks noChangeAspect="1"/>
        </xdr:cNvPicPr>
      </xdr:nvPicPr>
      <xdr:blipFill rotWithShape="1">
        <a:blip xmlns:r="http://schemas.openxmlformats.org/officeDocument/2006/relationships" r:embed="rId4"/>
        <a:srcRect l="4928" t="2739" r="21528" b="67675"/>
        <a:stretch>
          <a:fillRect/>
        </a:stretch>
      </xdr:blipFill>
      <xdr:spPr>
        <a:xfrm>
          <a:off x="4892040" y="2476500"/>
          <a:ext cx="1478280" cy="411480"/>
        </a:xfrm>
        <a:prstGeom prst="rect">
          <a:avLst/>
        </a:prstGeom>
      </xdr:spPr>
    </xdr:pic>
    <xdr:clientData/>
  </xdr:twoCellAnchor>
  <xdr:twoCellAnchor>
    <xdr:from>
      <xdr:col>10</xdr:col>
      <xdr:colOff>426720</xdr:colOff>
      <xdr:row>26</xdr:row>
      <xdr:rowOff>19050</xdr:rowOff>
    </xdr:from>
    <xdr:to>
      <xdr:col>16</xdr:col>
      <xdr:colOff>487680</xdr:colOff>
      <xdr:row>41</xdr:row>
      <xdr:rowOff>152400</xdr:rowOff>
    </xdr:to>
    <xdr:graphicFrame macro="">
      <xdr:nvGraphicFramePr>
        <xdr:cNvPr id="8" name="Gráfico 7">
          <a:extLst>
            <a:ext uri="{FF2B5EF4-FFF2-40B4-BE49-F238E27FC236}">
              <a16:creationId xmlns:a16="http://schemas.microsoft.com/office/drawing/2014/main" id="{E1F2667D-2422-3736-6B4E-DE5006E80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7620</xdr:colOff>
      <xdr:row>1</xdr:row>
      <xdr:rowOff>38100</xdr:rowOff>
    </xdr:from>
    <xdr:to>
      <xdr:col>7</xdr:col>
      <xdr:colOff>770709</xdr:colOff>
      <xdr:row>11</xdr:row>
      <xdr:rowOff>3404</xdr:rowOff>
    </xdr:to>
    <xdr:pic>
      <xdr:nvPicPr>
        <xdr:cNvPr id="2" name="Imagen 1">
          <a:extLst>
            <a:ext uri="{FF2B5EF4-FFF2-40B4-BE49-F238E27FC236}">
              <a16:creationId xmlns:a16="http://schemas.microsoft.com/office/drawing/2014/main" id="{AC49594B-7932-42B9-8342-FDB72CE0B3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220980"/>
          <a:ext cx="6325689" cy="17941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693420</xdr:colOff>
      <xdr:row>13</xdr:row>
      <xdr:rowOff>60960</xdr:rowOff>
    </xdr:from>
    <xdr:to>
      <xdr:col>7</xdr:col>
      <xdr:colOff>190500</xdr:colOff>
      <xdr:row>15</xdr:row>
      <xdr:rowOff>168067</xdr:rowOff>
    </xdr:to>
    <xdr:pic>
      <xdr:nvPicPr>
        <xdr:cNvPr id="6" name="Imagen 5">
          <a:extLst>
            <a:ext uri="{FF2B5EF4-FFF2-40B4-BE49-F238E27FC236}">
              <a16:creationId xmlns:a16="http://schemas.microsoft.com/office/drawing/2014/main" id="{CF0F6F82-B244-209D-0682-AC7978C70DE9}"/>
            </a:ext>
          </a:extLst>
        </xdr:cNvPr>
        <xdr:cNvPicPr>
          <a:picLocks noChangeAspect="1"/>
        </xdr:cNvPicPr>
      </xdr:nvPicPr>
      <xdr:blipFill>
        <a:blip xmlns:r="http://schemas.openxmlformats.org/officeDocument/2006/relationships" r:embed="rId2"/>
        <a:stretch>
          <a:fillRect/>
        </a:stretch>
      </xdr:blipFill>
      <xdr:spPr>
        <a:xfrm>
          <a:off x="1485900" y="2438400"/>
          <a:ext cx="5059680" cy="472867"/>
        </a:xfrm>
        <a:prstGeom prst="rect">
          <a:avLst/>
        </a:prstGeom>
      </xdr:spPr>
    </xdr:pic>
    <xdr:clientData/>
  </xdr:twoCellAnchor>
  <xdr:twoCellAnchor editAs="oneCell">
    <xdr:from>
      <xdr:col>3</xdr:col>
      <xdr:colOff>411480</xdr:colOff>
      <xdr:row>16</xdr:row>
      <xdr:rowOff>38100</xdr:rowOff>
    </xdr:from>
    <xdr:to>
      <xdr:col>5</xdr:col>
      <xdr:colOff>528768</xdr:colOff>
      <xdr:row>18</xdr:row>
      <xdr:rowOff>167640</xdr:rowOff>
    </xdr:to>
    <xdr:pic>
      <xdr:nvPicPr>
        <xdr:cNvPr id="7" name="Imagen 6">
          <a:extLst>
            <a:ext uri="{FF2B5EF4-FFF2-40B4-BE49-F238E27FC236}">
              <a16:creationId xmlns:a16="http://schemas.microsoft.com/office/drawing/2014/main" id="{DDC20C44-A4B3-758E-24B7-DD2A0190F2BD}"/>
            </a:ext>
          </a:extLst>
        </xdr:cNvPr>
        <xdr:cNvPicPr>
          <a:picLocks noChangeAspect="1"/>
        </xdr:cNvPicPr>
      </xdr:nvPicPr>
      <xdr:blipFill>
        <a:blip xmlns:r="http://schemas.openxmlformats.org/officeDocument/2006/relationships" r:embed="rId3"/>
        <a:stretch>
          <a:fillRect/>
        </a:stretch>
      </xdr:blipFill>
      <xdr:spPr>
        <a:xfrm>
          <a:off x="2788920" y="2964180"/>
          <a:ext cx="2509968" cy="495300"/>
        </a:xfrm>
        <a:prstGeom prst="rect">
          <a:avLst/>
        </a:prstGeom>
      </xdr:spPr>
    </xdr:pic>
    <xdr:clientData/>
  </xdr:twoCellAnchor>
  <xdr:twoCellAnchor editAs="oneCell">
    <xdr:from>
      <xdr:col>2</xdr:col>
      <xdr:colOff>556261</xdr:colOff>
      <xdr:row>19</xdr:row>
      <xdr:rowOff>129540</xdr:rowOff>
    </xdr:from>
    <xdr:to>
      <xdr:col>6</xdr:col>
      <xdr:colOff>220133</xdr:colOff>
      <xdr:row>21</xdr:row>
      <xdr:rowOff>152400</xdr:rowOff>
    </xdr:to>
    <xdr:pic>
      <xdr:nvPicPr>
        <xdr:cNvPr id="8" name="Imagen 7">
          <a:extLst>
            <a:ext uri="{FF2B5EF4-FFF2-40B4-BE49-F238E27FC236}">
              <a16:creationId xmlns:a16="http://schemas.microsoft.com/office/drawing/2014/main" id="{6160D847-2BE0-FE0C-DCC2-03D0984F452D}"/>
            </a:ext>
          </a:extLst>
        </xdr:cNvPr>
        <xdr:cNvPicPr>
          <a:picLocks noChangeAspect="1"/>
        </xdr:cNvPicPr>
      </xdr:nvPicPr>
      <xdr:blipFill>
        <a:blip xmlns:r="http://schemas.openxmlformats.org/officeDocument/2006/relationships" r:embed="rId4"/>
        <a:stretch>
          <a:fillRect/>
        </a:stretch>
      </xdr:blipFill>
      <xdr:spPr>
        <a:xfrm>
          <a:off x="2141221" y="3604260"/>
          <a:ext cx="3641512" cy="388620"/>
        </a:xfrm>
        <a:prstGeom prst="rect">
          <a:avLst/>
        </a:prstGeom>
      </xdr:spPr>
    </xdr:pic>
    <xdr:clientData/>
  </xdr:twoCellAnchor>
  <xdr:twoCellAnchor>
    <xdr:from>
      <xdr:col>6</xdr:col>
      <xdr:colOff>411480</xdr:colOff>
      <xdr:row>25</xdr:row>
      <xdr:rowOff>49530</xdr:rowOff>
    </xdr:from>
    <xdr:to>
      <xdr:col>12</xdr:col>
      <xdr:colOff>419100</xdr:colOff>
      <xdr:row>40</xdr:row>
      <xdr:rowOff>167640</xdr:rowOff>
    </xdr:to>
    <xdr:graphicFrame macro="">
      <xdr:nvGraphicFramePr>
        <xdr:cNvPr id="9" name="Gráfico 8">
          <a:extLst>
            <a:ext uri="{FF2B5EF4-FFF2-40B4-BE49-F238E27FC236}">
              <a16:creationId xmlns:a16="http://schemas.microsoft.com/office/drawing/2014/main" id="{D6190BC0-70AB-A43C-F7B4-975CADFE43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38100</xdr:colOff>
      <xdr:row>1</xdr:row>
      <xdr:rowOff>68580</xdr:rowOff>
    </xdr:from>
    <xdr:to>
      <xdr:col>7</xdr:col>
      <xdr:colOff>625929</xdr:colOff>
      <xdr:row>11</xdr:row>
      <xdr:rowOff>33884</xdr:rowOff>
    </xdr:to>
    <xdr:pic>
      <xdr:nvPicPr>
        <xdr:cNvPr id="2" name="Imagen 1">
          <a:extLst>
            <a:ext uri="{FF2B5EF4-FFF2-40B4-BE49-F238E27FC236}">
              <a16:creationId xmlns:a16="http://schemas.microsoft.com/office/drawing/2014/main" id="{95C9C3B9-23B2-49BE-ADE9-D68752A896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580" y="251460"/>
          <a:ext cx="6325689" cy="17941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F2973-3AC1-4C1D-B82F-A6CAC04AAC52}">
  <dimension ref="B13:I40"/>
  <sheetViews>
    <sheetView topLeftCell="A8" zoomScaleNormal="100" workbookViewId="0">
      <selection activeCell="J17" sqref="J17"/>
    </sheetView>
  </sheetViews>
  <sheetFormatPr baseColWidth="10" defaultRowHeight="14.4" x14ac:dyDescent="0.3"/>
  <sheetData>
    <row r="13" spans="2:9" x14ac:dyDescent="0.3">
      <c r="B13" s="11" t="s">
        <v>0</v>
      </c>
      <c r="C13" s="11"/>
      <c r="D13" s="11"/>
      <c r="E13" s="11"/>
      <c r="F13" s="13" t="s">
        <v>1</v>
      </c>
      <c r="G13" s="13"/>
      <c r="H13" s="13"/>
      <c r="I13" s="13"/>
    </row>
    <row r="14" spans="2:9" x14ac:dyDescent="0.3">
      <c r="B14" s="12"/>
      <c r="C14" s="12"/>
      <c r="D14" s="12"/>
      <c r="E14" s="12"/>
      <c r="F14" s="12"/>
      <c r="G14" s="12"/>
      <c r="H14" s="12"/>
      <c r="I14" s="12"/>
    </row>
    <row r="15" spans="2:9" x14ac:dyDescent="0.3">
      <c r="B15" s="12"/>
      <c r="C15" s="12"/>
      <c r="D15" s="12"/>
      <c r="E15" s="12"/>
      <c r="F15" s="12"/>
      <c r="G15" s="12"/>
      <c r="H15" s="12"/>
      <c r="I15" s="12"/>
    </row>
    <row r="16" spans="2:9" x14ac:dyDescent="0.3">
      <c r="B16" s="12"/>
      <c r="C16" s="12"/>
      <c r="D16" s="12"/>
      <c r="E16" s="12"/>
      <c r="F16" s="12"/>
      <c r="G16" s="12"/>
      <c r="H16" s="12"/>
      <c r="I16" s="12"/>
    </row>
    <row r="19" spans="3:7" x14ac:dyDescent="0.3">
      <c r="C19" s="3" t="s">
        <v>2</v>
      </c>
      <c r="D19" s="3" t="s">
        <v>3</v>
      </c>
      <c r="E19" s="3" t="s">
        <v>4</v>
      </c>
      <c r="F19" s="3" t="s">
        <v>5</v>
      </c>
      <c r="G19" s="3" t="s">
        <v>6</v>
      </c>
    </row>
    <row r="20" spans="3:7" x14ac:dyDescent="0.3">
      <c r="C20">
        <v>0</v>
      </c>
      <c r="D20">
        <v>0</v>
      </c>
      <c r="E20">
        <v>1</v>
      </c>
      <c r="F20">
        <v>20</v>
      </c>
      <c r="G20">
        <f>0.3*(E20^(3/4))*(1-(E20/300)^(1/4))</f>
        <v>0.22791565757595736</v>
      </c>
    </row>
    <row r="21" spans="3:7" x14ac:dyDescent="0.3">
      <c r="C21">
        <v>1</v>
      </c>
      <c r="D21">
        <f>D20+$F$20</f>
        <v>20</v>
      </c>
      <c r="E21">
        <f>E20+($F$20*G20)</f>
        <v>5.5583131515191475</v>
      </c>
      <c r="G21">
        <f t="shared" ref="G21:G40" si="0">0.3*(E21^(3/4))*(1-(E21/300)^(1/4))</f>
        <v>0.68532936995091265</v>
      </c>
    </row>
    <row r="22" spans="3:7" x14ac:dyDescent="0.3">
      <c r="C22">
        <v>2</v>
      </c>
      <c r="D22">
        <f t="shared" ref="D22:D40" si="1">D21+$F$20</f>
        <v>40</v>
      </c>
      <c r="E22">
        <f t="shared" ref="E22:E40" si="2">E21+($F$20*G21)</f>
        <v>19.264900550537401</v>
      </c>
      <c r="G22">
        <f t="shared" si="0"/>
        <v>1.3699505959437464</v>
      </c>
    </row>
    <row r="23" spans="3:7" x14ac:dyDescent="0.3">
      <c r="C23">
        <v>3</v>
      </c>
      <c r="D23">
        <f t="shared" si="1"/>
        <v>60</v>
      </c>
      <c r="E23">
        <f t="shared" si="2"/>
        <v>46.663912469412324</v>
      </c>
      <c r="G23">
        <f t="shared" si="0"/>
        <v>1.9924666388564238</v>
      </c>
    </row>
    <row r="24" spans="3:7" x14ac:dyDescent="0.3">
      <c r="C24">
        <v>4</v>
      </c>
      <c r="D24">
        <f t="shared" si="1"/>
        <v>80</v>
      </c>
      <c r="E24">
        <f t="shared" si="2"/>
        <v>86.513245246540805</v>
      </c>
      <c r="G24">
        <f t="shared" si="0"/>
        <v>2.2738210721049352</v>
      </c>
    </row>
    <row r="25" spans="3:7" x14ac:dyDescent="0.3">
      <c r="C25">
        <v>5</v>
      </c>
      <c r="D25">
        <f t="shared" si="1"/>
        <v>100</v>
      </c>
      <c r="E25">
        <f t="shared" si="2"/>
        <v>131.98966668863952</v>
      </c>
      <c r="G25">
        <f t="shared" si="0"/>
        <v>2.1678538134954848</v>
      </c>
    </row>
    <row r="26" spans="3:7" x14ac:dyDescent="0.3">
      <c r="C26">
        <v>6</v>
      </c>
      <c r="D26">
        <f t="shared" si="1"/>
        <v>120</v>
      </c>
      <c r="E26">
        <f t="shared" si="2"/>
        <v>175.34674295854921</v>
      </c>
      <c r="G26">
        <f t="shared" si="0"/>
        <v>1.8161252638094023</v>
      </c>
    </row>
    <row r="27" spans="3:7" x14ac:dyDescent="0.3">
      <c r="C27">
        <v>7</v>
      </c>
      <c r="D27">
        <f t="shared" si="1"/>
        <v>140</v>
      </c>
      <c r="E27">
        <f t="shared" si="2"/>
        <v>211.66924823473727</v>
      </c>
      <c r="G27">
        <f t="shared" si="0"/>
        <v>1.3900577632689497</v>
      </c>
    </row>
    <row r="28" spans="3:7" x14ac:dyDescent="0.3">
      <c r="C28">
        <v>8</v>
      </c>
      <c r="D28">
        <f t="shared" si="1"/>
        <v>160</v>
      </c>
      <c r="E28">
        <f t="shared" si="2"/>
        <v>239.47040350011628</v>
      </c>
      <c r="G28">
        <f t="shared" si="0"/>
        <v>1.0004296598821079</v>
      </c>
    </row>
    <row r="29" spans="3:7" x14ac:dyDescent="0.3">
      <c r="C29">
        <v>9</v>
      </c>
      <c r="D29">
        <f t="shared" si="1"/>
        <v>180</v>
      </c>
      <c r="E29">
        <f t="shared" si="2"/>
        <v>259.47899669775842</v>
      </c>
      <c r="G29">
        <f t="shared" si="0"/>
        <v>0.69099015223583515</v>
      </c>
    </row>
    <row r="30" spans="3:7" x14ac:dyDescent="0.3">
      <c r="C30">
        <v>10</v>
      </c>
      <c r="D30">
        <f t="shared" si="1"/>
        <v>200</v>
      </c>
      <c r="E30">
        <f t="shared" si="2"/>
        <v>273.29879974247513</v>
      </c>
      <c r="G30">
        <f t="shared" si="0"/>
        <v>0.4644971025290211</v>
      </c>
    </row>
    <row r="31" spans="3:7" x14ac:dyDescent="0.3">
      <c r="C31">
        <v>11</v>
      </c>
      <c r="D31">
        <f>D30+$F$20</f>
        <v>220</v>
      </c>
      <c r="E31">
        <f t="shared" si="2"/>
        <v>282.58874179305553</v>
      </c>
      <c r="G31">
        <f t="shared" si="0"/>
        <v>0.30677012446643381</v>
      </c>
    </row>
    <row r="32" spans="3:7" x14ac:dyDescent="0.3">
      <c r="C32">
        <v>12</v>
      </c>
      <c r="D32">
        <f t="shared" si="1"/>
        <v>240</v>
      </c>
      <c r="E32">
        <f t="shared" si="2"/>
        <v>288.7241442823842</v>
      </c>
      <c r="G32">
        <f t="shared" si="0"/>
        <v>0.20029322252933512</v>
      </c>
    </row>
    <row r="33" spans="3:7" x14ac:dyDescent="0.3">
      <c r="C33">
        <v>13</v>
      </c>
      <c r="D33">
        <f t="shared" si="1"/>
        <v>260</v>
      </c>
      <c r="E33">
        <f t="shared" si="2"/>
        <v>292.73000873297093</v>
      </c>
      <c r="G33">
        <f t="shared" si="0"/>
        <v>0.12981036650860331</v>
      </c>
    </row>
    <row r="34" spans="3:7" x14ac:dyDescent="0.3">
      <c r="C34">
        <v>14</v>
      </c>
      <c r="D34">
        <f t="shared" si="1"/>
        <v>280</v>
      </c>
      <c r="E34">
        <f t="shared" si="2"/>
        <v>295.32621606314302</v>
      </c>
      <c r="G34">
        <f t="shared" si="0"/>
        <v>8.3731366419139641E-2</v>
      </c>
    </row>
    <row r="35" spans="3:7" x14ac:dyDescent="0.3">
      <c r="C35">
        <v>15</v>
      </c>
      <c r="D35">
        <f t="shared" si="1"/>
        <v>300</v>
      </c>
      <c r="E35">
        <f t="shared" si="2"/>
        <v>297.00084339152579</v>
      </c>
      <c r="G35">
        <f t="shared" si="0"/>
        <v>5.3844585945770483E-2</v>
      </c>
    </row>
    <row r="36" spans="3:7" x14ac:dyDescent="0.3">
      <c r="C36">
        <v>16</v>
      </c>
      <c r="D36">
        <f t="shared" si="1"/>
        <v>320</v>
      </c>
      <c r="E36">
        <f t="shared" si="2"/>
        <v>298.07773511044121</v>
      </c>
      <c r="G36">
        <f t="shared" si="0"/>
        <v>3.4557839906450422E-2</v>
      </c>
    </row>
    <row r="37" spans="3:7" x14ac:dyDescent="0.3">
      <c r="C37">
        <v>17</v>
      </c>
      <c r="D37">
        <f t="shared" si="1"/>
        <v>340</v>
      </c>
      <c r="E37">
        <f t="shared" si="2"/>
        <v>298.7688919085702</v>
      </c>
      <c r="G37">
        <f t="shared" si="0"/>
        <v>2.2151704235205048E-2</v>
      </c>
    </row>
    <row r="38" spans="3:7" x14ac:dyDescent="0.3">
      <c r="C38">
        <v>18</v>
      </c>
      <c r="D38">
        <f t="shared" si="1"/>
        <v>360</v>
      </c>
      <c r="E38">
        <f t="shared" si="2"/>
        <v>299.21192599327429</v>
      </c>
      <c r="G38">
        <f t="shared" si="0"/>
        <v>1.4187943569736653E-2</v>
      </c>
    </row>
    <row r="39" spans="3:7" x14ac:dyDescent="0.3">
      <c r="C39">
        <v>19</v>
      </c>
      <c r="D39">
        <f>D38+$F$20</f>
        <v>380</v>
      </c>
      <c r="E39">
        <f t="shared" si="2"/>
        <v>299.49568486466904</v>
      </c>
      <c r="G39">
        <f t="shared" si="0"/>
        <v>9.0825729964703027E-3</v>
      </c>
    </row>
    <row r="40" spans="3:7" x14ac:dyDescent="0.3">
      <c r="C40">
        <v>20</v>
      </c>
      <c r="D40">
        <f t="shared" si="1"/>
        <v>400</v>
      </c>
      <c r="E40" s="4">
        <f t="shared" si="2"/>
        <v>299.67733632459846</v>
      </c>
      <c r="G40">
        <f t="shared" si="0"/>
        <v>5.8124034040656896E-3</v>
      </c>
    </row>
  </sheetData>
  <mergeCells count="4">
    <mergeCell ref="B13:E13"/>
    <mergeCell ref="B14:E16"/>
    <mergeCell ref="F13:I13"/>
    <mergeCell ref="F14:I16"/>
  </mergeCells>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D7458-58CB-436D-92C9-965F99987C6D}">
  <dimension ref="B13:J46"/>
  <sheetViews>
    <sheetView topLeftCell="A16" workbookViewId="0">
      <selection activeCell="M14" sqref="M14"/>
    </sheetView>
  </sheetViews>
  <sheetFormatPr baseColWidth="10" defaultRowHeight="14.4" x14ac:dyDescent="0.3"/>
  <sheetData>
    <row r="13" spans="2:9" x14ac:dyDescent="0.3">
      <c r="B13" s="11" t="s">
        <v>0</v>
      </c>
      <c r="C13" s="11"/>
      <c r="D13" s="11"/>
      <c r="E13" s="11"/>
      <c r="F13" s="13" t="s">
        <v>7</v>
      </c>
      <c r="G13" s="13"/>
      <c r="H13" s="13"/>
      <c r="I13" s="13"/>
    </row>
    <row r="14" spans="2:9" x14ac:dyDescent="0.3">
      <c r="B14" s="12"/>
      <c r="C14" s="12"/>
      <c r="D14" s="12"/>
      <c r="E14" s="12"/>
      <c r="F14" s="12"/>
      <c r="G14" s="12"/>
      <c r="H14" s="12"/>
      <c r="I14" s="12"/>
    </row>
    <row r="15" spans="2:9" x14ac:dyDescent="0.3">
      <c r="B15" s="12"/>
      <c r="C15" s="12"/>
      <c r="D15" s="12"/>
      <c r="E15" s="12"/>
      <c r="F15" s="12"/>
      <c r="G15" s="12"/>
      <c r="H15" s="12"/>
      <c r="I15" s="12"/>
    </row>
    <row r="16" spans="2:9" x14ac:dyDescent="0.3">
      <c r="B16" s="12"/>
      <c r="C16" s="12"/>
      <c r="D16" s="12"/>
      <c r="E16" s="12"/>
      <c r="F16" s="12"/>
      <c r="G16" s="12"/>
      <c r="H16" s="12"/>
      <c r="I16" s="12"/>
    </row>
    <row r="17" spans="2:10" x14ac:dyDescent="0.3">
      <c r="B17" s="12"/>
      <c r="C17" s="12"/>
      <c r="D17" s="12"/>
      <c r="E17" s="12"/>
      <c r="F17" s="12"/>
      <c r="G17" s="12"/>
      <c r="H17" s="12"/>
      <c r="I17" s="12"/>
    </row>
    <row r="18" spans="2:10" x14ac:dyDescent="0.3">
      <c r="B18" s="12"/>
      <c r="C18" s="12"/>
      <c r="D18" s="12"/>
      <c r="E18" s="12"/>
      <c r="F18" s="12"/>
      <c r="G18" s="12"/>
      <c r="H18" s="12"/>
      <c r="I18" s="12"/>
    </row>
    <row r="19" spans="2:10" x14ac:dyDescent="0.3">
      <c r="B19" s="12"/>
      <c r="C19" s="12"/>
      <c r="D19" s="12"/>
      <c r="E19" s="12"/>
      <c r="F19" s="12"/>
      <c r="G19" s="12"/>
      <c r="H19" s="12"/>
      <c r="I19" s="12"/>
    </row>
    <row r="20" spans="2:10" x14ac:dyDescent="0.3">
      <c r="B20" s="12"/>
      <c r="C20" s="12"/>
      <c r="D20" s="12"/>
      <c r="E20" s="12"/>
      <c r="F20" s="12"/>
      <c r="G20" s="12"/>
      <c r="H20" s="12"/>
      <c r="I20" s="12"/>
    </row>
    <row r="21" spans="2:10" x14ac:dyDescent="0.3">
      <c r="B21" s="12"/>
      <c r="C21" s="12"/>
      <c r="D21" s="12"/>
      <c r="E21" s="12"/>
      <c r="F21" s="12"/>
      <c r="G21" s="12"/>
      <c r="H21" s="12"/>
      <c r="I21" s="12"/>
    </row>
    <row r="22" spans="2:10" x14ac:dyDescent="0.3">
      <c r="B22" s="12"/>
      <c r="C22" s="12"/>
      <c r="D22" s="12"/>
      <c r="E22" s="12"/>
      <c r="F22" s="12"/>
      <c r="G22" s="12"/>
      <c r="H22" s="12"/>
      <c r="I22" s="12"/>
    </row>
    <row r="24" spans="2:10" x14ac:dyDescent="0.3">
      <c r="B24" s="6"/>
      <c r="C24" s="6"/>
      <c r="D24" s="6"/>
      <c r="E24" s="6"/>
      <c r="F24" s="6" t="s">
        <v>11</v>
      </c>
      <c r="G24" s="6" t="s">
        <v>12</v>
      </c>
      <c r="H24" s="6"/>
      <c r="I24" s="6" t="s">
        <v>15</v>
      </c>
      <c r="J24" s="6" t="s">
        <v>17</v>
      </c>
    </row>
    <row r="25" spans="2:10" x14ac:dyDescent="0.3">
      <c r="B25" s="5" t="s">
        <v>2</v>
      </c>
      <c r="C25" s="5" t="s">
        <v>3</v>
      </c>
      <c r="D25" s="5" t="s">
        <v>4</v>
      </c>
      <c r="E25" s="5" t="s">
        <v>5</v>
      </c>
      <c r="F25" s="5" t="s">
        <v>6</v>
      </c>
      <c r="G25" s="5" t="s">
        <v>18</v>
      </c>
      <c r="H25" s="5" t="s">
        <v>13</v>
      </c>
      <c r="I25" s="5" t="s">
        <v>14</v>
      </c>
      <c r="J25" s="5" t="s">
        <v>16</v>
      </c>
    </row>
    <row r="26" spans="2:10" x14ac:dyDescent="0.3">
      <c r="B26">
        <v>0</v>
      </c>
      <c r="C26">
        <v>0</v>
      </c>
      <c r="D26">
        <v>1</v>
      </c>
      <c r="E26">
        <v>20</v>
      </c>
      <c r="F26">
        <f>0.3*(D26^(3/4))*(1-(D26/300)^(1/4))</f>
        <v>0.22791565757595736</v>
      </c>
      <c r="G26">
        <f>C26+$E$26</f>
        <v>20</v>
      </c>
      <c r="H26">
        <f>$E$26*F26</f>
        <v>4.5583131515191475</v>
      </c>
      <c r="I26">
        <f>D26+H26</f>
        <v>5.5583131515191475</v>
      </c>
      <c r="J26">
        <f>0.3*(I26^(3/4))*(1-(I26/300)^(1/4))</f>
        <v>0.68532936995091265</v>
      </c>
    </row>
    <row r="27" spans="2:10" x14ac:dyDescent="0.3">
      <c r="B27">
        <v>1</v>
      </c>
      <c r="C27">
        <f>C26+$E$26</f>
        <v>20</v>
      </c>
      <c r="D27">
        <f>D26+(($E$26/2)*(F26+J26))</f>
        <v>10.132450275268699</v>
      </c>
      <c r="F27">
        <f>0.3*(D27^(3/4))*(1-(D27/300)^(1/4))</f>
        <v>0.97336387570737837</v>
      </c>
      <c r="G27">
        <f t="shared" ref="G27:G46" si="0">C27+$E$26</f>
        <v>40</v>
      </c>
      <c r="H27">
        <f t="shared" ref="H27:H46" si="1">$E$26*F27</f>
        <v>19.467277514147568</v>
      </c>
      <c r="I27">
        <f t="shared" ref="I27:I46" si="2">D27+H27</f>
        <v>29.599727789416267</v>
      </c>
      <c r="J27">
        <f>0.3*(I27^(3/4))*(1-(I27/300)^(1/4))</f>
        <v>1.673359603333598</v>
      </c>
    </row>
    <row r="28" spans="2:10" x14ac:dyDescent="0.3">
      <c r="B28">
        <v>2</v>
      </c>
      <c r="C28">
        <f t="shared" ref="C28:C46" si="3">C27+$E$26</f>
        <v>40</v>
      </c>
      <c r="D28">
        <f t="shared" ref="D28:D46" si="4">D27+(($E$26/2)*(F27+J27))</f>
        <v>36.599685065678457</v>
      </c>
      <c r="F28">
        <f t="shared" ref="F28:F45" si="5">0.3*(D28^(3/4))*(1-(D28/300)^(1/4))</f>
        <v>1.8257879861688631</v>
      </c>
      <c r="G28">
        <f t="shared" si="0"/>
        <v>60</v>
      </c>
      <c r="H28">
        <f t="shared" si="1"/>
        <v>36.515759723377258</v>
      </c>
      <c r="I28">
        <f t="shared" si="2"/>
        <v>73.115444789055715</v>
      </c>
      <c r="J28">
        <f t="shared" ref="J28:J46" si="6">0.3*(I28^(3/4))*(1-(I28/300)^(1/4))</f>
        <v>2.2306755481245117</v>
      </c>
    </row>
    <row r="29" spans="2:10" x14ac:dyDescent="0.3">
      <c r="B29">
        <v>3</v>
      </c>
      <c r="C29">
        <f t="shared" si="3"/>
        <v>60</v>
      </c>
      <c r="D29">
        <f t="shared" si="4"/>
        <v>77.164320408612213</v>
      </c>
      <c r="F29">
        <f t="shared" si="5"/>
        <v>2.2482473852049734</v>
      </c>
      <c r="G29">
        <f t="shared" si="0"/>
        <v>80</v>
      </c>
      <c r="H29">
        <f t="shared" si="1"/>
        <v>44.964947704099465</v>
      </c>
      <c r="I29">
        <f t="shared" si="2"/>
        <v>122.12926811271169</v>
      </c>
      <c r="J29">
        <f t="shared" si="6"/>
        <v>2.2177744066378069</v>
      </c>
    </row>
    <row r="30" spans="2:10" x14ac:dyDescent="0.3">
      <c r="B30">
        <v>4</v>
      </c>
      <c r="C30">
        <f t="shared" si="3"/>
        <v>80</v>
      </c>
      <c r="D30">
        <f t="shared" si="4"/>
        <v>121.82453832704002</v>
      </c>
      <c r="F30">
        <f t="shared" si="5"/>
        <v>2.2191092832771306</v>
      </c>
      <c r="G30">
        <f t="shared" si="0"/>
        <v>100</v>
      </c>
      <c r="H30">
        <f t="shared" si="1"/>
        <v>44.382185665542615</v>
      </c>
      <c r="I30">
        <f t="shared" si="2"/>
        <v>166.20672399258262</v>
      </c>
      <c r="J30">
        <f t="shared" si="6"/>
        <v>1.9060739739658941</v>
      </c>
    </row>
    <row r="31" spans="2:10" x14ac:dyDescent="0.3">
      <c r="B31">
        <v>5</v>
      </c>
      <c r="C31">
        <f t="shared" si="3"/>
        <v>100</v>
      </c>
      <c r="D31">
        <f t="shared" si="4"/>
        <v>163.07637089947025</v>
      </c>
      <c r="F31">
        <f t="shared" si="5"/>
        <v>1.9350964740525884</v>
      </c>
      <c r="G31">
        <f t="shared" si="0"/>
        <v>120</v>
      </c>
      <c r="H31">
        <f t="shared" si="1"/>
        <v>38.701929481051771</v>
      </c>
      <c r="I31">
        <f t="shared" si="2"/>
        <v>201.77830038052201</v>
      </c>
      <c r="J31">
        <f t="shared" si="6"/>
        <v>1.5161109602383223</v>
      </c>
    </row>
    <row r="32" spans="2:10" x14ac:dyDescent="0.3">
      <c r="B32">
        <v>6</v>
      </c>
      <c r="C32">
        <f t="shared" si="3"/>
        <v>120</v>
      </c>
      <c r="D32">
        <f t="shared" si="4"/>
        <v>197.58844524237935</v>
      </c>
      <c r="F32">
        <f t="shared" si="5"/>
        <v>1.5673506549835794</v>
      </c>
      <c r="G32">
        <f t="shared" si="0"/>
        <v>140</v>
      </c>
      <c r="H32">
        <f t="shared" si="1"/>
        <v>31.347013099671589</v>
      </c>
      <c r="I32">
        <f t="shared" si="2"/>
        <v>228.93545834205094</v>
      </c>
      <c r="J32">
        <f t="shared" si="6"/>
        <v>1.1538962949754361</v>
      </c>
    </row>
    <row r="33" spans="2:10" x14ac:dyDescent="0.3">
      <c r="B33">
        <v>7</v>
      </c>
      <c r="C33">
        <f t="shared" si="3"/>
        <v>140</v>
      </c>
      <c r="D33">
        <f t="shared" si="4"/>
        <v>224.80091474196951</v>
      </c>
      <c r="F33">
        <f t="shared" si="5"/>
        <v>1.2122318544187856</v>
      </c>
      <c r="G33">
        <f t="shared" si="0"/>
        <v>160</v>
      </c>
      <c r="H33">
        <f t="shared" si="1"/>
        <v>24.244637088375711</v>
      </c>
      <c r="I33">
        <f t="shared" si="2"/>
        <v>249.04555183034523</v>
      </c>
      <c r="J33">
        <f t="shared" si="6"/>
        <v>0.85518381680945721</v>
      </c>
    </row>
    <row r="34" spans="2:10" x14ac:dyDescent="0.3">
      <c r="B34">
        <v>8</v>
      </c>
      <c r="C34">
        <f t="shared" si="3"/>
        <v>160</v>
      </c>
      <c r="D34">
        <f t="shared" si="4"/>
        <v>245.47507145425195</v>
      </c>
      <c r="F34">
        <f t="shared" si="5"/>
        <v>0.90996780210288386</v>
      </c>
      <c r="G34">
        <f t="shared" si="0"/>
        <v>180</v>
      </c>
      <c r="H34">
        <f t="shared" si="1"/>
        <v>18.199356042057676</v>
      </c>
      <c r="I34">
        <f t="shared" si="2"/>
        <v>263.67442749630965</v>
      </c>
      <c r="J34">
        <f t="shared" si="6"/>
        <v>0.62329104833318216</v>
      </c>
    </row>
    <row r="35" spans="2:10" x14ac:dyDescent="0.3">
      <c r="B35">
        <v>9</v>
      </c>
      <c r="C35">
        <f t="shared" si="3"/>
        <v>180</v>
      </c>
      <c r="D35">
        <f t="shared" si="4"/>
        <v>260.80765995861259</v>
      </c>
      <c r="F35">
        <f t="shared" si="5"/>
        <v>0.66965228728522619</v>
      </c>
      <c r="G35">
        <f t="shared" si="0"/>
        <v>200</v>
      </c>
      <c r="H35">
        <f t="shared" si="1"/>
        <v>13.393045745704523</v>
      </c>
      <c r="I35">
        <f t="shared" si="2"/>
        <v>274.2007057043171</v>
      </c>
      <c r="J35">
        <f t="shared" si="6"/>
        <v>0.4493728737862614</v>
      </c>
    </row>
    <row r="36" spans="2:10" x14ac:dyDescent="0.3">
      <c r="B36">
        <v>10</v>
      </c>
      <c r="C36">
        <f t="shared" si="3"/>
        <v>200</v>
      </c>
      <c r="D36">
        <f t="shared" si="4"/>
        <v>271.99791156932747</v>
      </c>
      <c r="F36">
        <f t="shared" si="5"/>
        <v>0.48623936513128874</v>
      </c>
      <c r="G36">
        <f t="shared" si="0"/>
        <v>220</v>
      </c>
      <c r="H36">
        <f t="shared" si="1"/>
        <v>9.7247873026257743</v>
      </c>
      <c r="I36">
        <f t="shared" si="2"/>
        <v>281.72269887195324</v>
      </c>
      <c r="J36">
        <f t="shared" si="6"/>
        <v>0.32165381497413315</v>
      </c>
    </row>
    <row r="37" spans="2:10" x14ac:dyDescent="0.3">
      <c r="B37">
        <v>11</v>
      </c>
      <c r="C37">
        <f t="shared" si="3"/>
        <v>220</v>
      </c>
      <c r="D37">
        <f t="shared" si="4"/>
        <v>280.07684337038171</v>
      </c>
      <c r="F37">
        <f t="shared" si="5"/>
        <v>0.34983839518165255</v>
      </c>
      <c r="G37">
        <f t="shared" si="0"/>
        <v>240</v>
      </c>
      <c r="H37">
        <f t="shared" si="1"/>
        <v>6.9967679036330512</v>
      </c>
      <c r="I37">
        <f t="shared" si="2"/>
        <v>287.07361127401475</v>
      </c>
      <c r="J37">
        <f t="shared" si="6"/>
        <v>0.22911433367455178</v>
      </c>
    </row>
    <row r="38" spans="2:10" x14ac:dyDescent="0.3">
      <c r="B38">
        <v>12</v>
      </c>
      <c r="C38">
        <f t="shared" si="3"/>
        <v>240</v>
      </c>
      <c r="D38">
        <f t="shared" si="4"/>
        <v>285.86637065894377</v>
      </c>
      <c r="F38">
        <f t="shared" si="5"/>
        <v>0.25011274363100744</v>
      </c>
      <c r="G38">
        <f t="shared" si="0"/>
        <v>260</v>
      </c>
      <c r="H38">
        <f t="shared" si="1"/>
        <v>5.0022548726201492</v>
      </c>
      <c r="I38">
        <f t="shared" si="2"/>
        <v>290.86862553156391</v>
      </c>
      <c r="J38">
        <f t="shared" si="6"/>
        <v>0.16265475082197023</v>
      </c>
    </row>
    <row r="39" spans="2:10" x14ac:dyDescent="0.3">
      <c r="B39">
        <v>13</v>
      </c>
      <c r="C39">
        <f t="shared" si="3"/>
        <v>260</v>
      </c>
      <c r="D39">
        <f t="shared" si="4"/>
        <v>289.99404560347352</v>
      </c>
      <c r="F39">
        <f t="shared" si="5"/>
        <v>0.17803089802558028</v>
      </c>
      <c r="G39">
        <f t="shared" si="0"/>
        <v>280</v>
      </c>
      <c r="H39">
        <f t="shared" si="1"/>
        <v>3.5606179605116055</v>
      </c>
      <c r="I39">
        <f t="shared" si="2"/>
        <v>293.55466356398512</v>
      </c>
      <c r="J39">
        <f t="shared" si="6"/>
        <v>0.1152076817976783</v>
      </c>
    </row>
    <row r="40" spans="2:10" x14ac:dyDescent="0.3">
      <c r="B40">
        <v>14</v>
      </c>
      <c r="C40">
        <f t="shared" si="3"/>
        <v>280</v>
      </c>
      <c r="D40">
        <f t="shared" si="4"/>
        <v>292.92643140170611</v>
      </c>
      <c r="F40">
        <f t="shared" si="5"/>
        <v>0.12633504820211852</v>
      </c>
      <c r="G40">
        <f t="shared" si="0"/>
        <v>300</v>
      </c>
      <c r="H40">
        <f t="shared" si="1"/>
        <v>2.5267009640423703</v>
      </c>
      <c r="I40">
        <f t="shared" si="2"/>
        <v>295.4531323657485</v>
      </c>
      <c r="J40">
        <f t="shared" si="6"/>
        <v>8.1470814526862903E-2</v>
      </c>
    </row>
    <row r="41" spans="2:10" x14ac:dyDescent="0.3">
      <c r="B41">
        <v>15</v>
      </c>
      <c r="C41">
        <f t="shared" si="3"/>
        <v>300</v>
      </c>
      <c r="D41">
        <f t="shared" si="4"/>
        <v>295.00449002899592</v>
      </c>
      <c r="F41">
        <f t="shared" si="5"/>
        <v>8.945842766167536E-2</v>
      </c>
      <c r="G41">
        <f t="shared" si="0"/>
        <v>320</v>
      </c>
      <c r="H41">
        <f t="shared" si="1"/>
        <v>1.7891685532335071</v>
      </c>
      <c r="I41">
        <f t="shared" si="2"/>
        <v>296.7936585822294</v>
      </c>
      <c r="J41">
        <f t="shared" si="6"/>
        <v>5.7549130586241684E-2</v>
      </c>
    </row>
    <row r="42" spans="2:10" x14ac:dyDescent="0.3">
      <c r="B42">
        <v>16</v>
      </c>
      <c r="C42">
        <f t="shared" si="3"/>
        <v>320</v>
      </c>
      <c r="D42">
        <f t="shared" si="4"/>
        <v>296.4745656114751</v>
      </c>
      <c r="F42">
        <f t="shared" si="5"/>
        <v>6.3250801857504244E-2</v>
      </c>
      <c r="G42">
        <f t="shared" si="0"/>
        <v>340</v>
      </c>
      <c r="H42">
        <f t="shared" si="1"/>
        <v>1.2650160371500849</v>
      </c>
      <c r="I42">
        <f t="shared" si="2"/>
        <v>297.73958164862518</v>
      </c>
      <c r="J42">
        <f t="shared" si="6"/>
        <v>4.0619731507916083E-2</v>
      </c>
    </row>
    <row r="43" spans="2:10" x14ac:dyDescent="0.3">
      <c r="B43">
        <v>17</v>
      </c>
      <c r="C43">
        <f t="shared" si="3"/>
        <v>340</v>
      </c>
      <c r="D43">
        <f t="shared" si="4"/>
        <v>297.51327094512931</v>
      </c>
      <c r="F43">
        <f t="shared" si="5"/>
        <v>4.4673774843605671E-2</v>
      </c>
      <c r="G43">
        <f t="shared" si="0"/>
        <v>360</v>
      </c>
      <c r="H43">
        <f t="shared" si="1"/>
        <v>0.89347549687211347</v>
      </c>
      <c r="I43">
        <f t="shared" si="2"/>
        <v>298.40674644200141</v>
      </c>
      <c r="J43">
        <f t="shared" si="6"/>
        <v>2.8654849659353814E-2</v>
      </c>
    </row>
    <row r="44" spans="2:10" x14ac:dyDescent="0.3">
      <c r="B44">
        <v>18</v>
      </c>
      <c r="C44">
        <f t="shared" si="3"/>
        <v>360</v>
      </c>
      <c r="D44">
        <f t="shared" si="4"/>
        <v>298.24655719015891</v>
      </c>
      <c r="F44">
        <f t="shared" si="5"/>
        <v>3.152951508230227E-2</v>
      </c>
      <c r="G44">
        <f t="shared" si="0"/>
        <v>380</v>
      </c>
      <c r="H44">
        <f t="shared" si="1"/>
        <v>0.63059030164604546</v>
      </c>
      <c r="I44">
        <f t="shared" si="2"/>
        <v>298.87714749180498</v>
      </c>
      <c r="J44">
        <f t="shared" si="6"/>
        <v>2.0206575607148215E-2</v>
      </c>
    </row>
    <row r="45" spans="2:10" x14ac:dyDescent="0.3">
      <c r="B45">
        <v>19</v>
      </c>
      <c r="C45">
        <f t="shared" si="3"/>
        <v>380</v>
      </c>
      <c r="D45">
        <f t="shared" si="4"/>
        <v>298.76391809705342</v>
      </c>
      <c r="F45">
        <f t="shared" si="5"/>
        <v>2.2241060577177559E-2</v>
      </c>
      <c r="G45">
        <f t="shared" si="0"/>
        <v>400</v>
      </c>
      <c r="H45">
        <f t="shared" si="1"/>
        <v>0.4448212115435512</v>
      </c>
      <c r="I45">
        <f t="shared" si="2"/>
        <v>299.20873930859699</v>
      </c>
      <c r="J45">
        <f t="shared" si="6"/>
        <v>1.4245257528636852E-2</v>
      </c>
    </row>
    <row r="46" spans="2:10" x14ac:dyDescent="0.3">
      <c r="B46">
        <v>20</v>
      </c>
      <c r="C46">
        <f t="shared" si="3"/>
        <v>400</v>
      </c>
      <c r="D46" s="4">
        <f t="shared" si="4"/>
        <v>299.12878127811155</v>
      </c>
      <c r="F46">
        <f>0.3*(D46^(3/4))*(1-(D46/300)^(1/4))</f>
        <v>1.5683188443891785E-2</v>
      </c>
      <c r="G46">
        <f t="shared" si="0"/>
        <v>420</v>
      </c>
      <c r="H46">
        <f t="shared" si="1"/>
        <v>0.3136637688778357</v>
      </c>
      <c r="I46">
        <f t="shared" si="2"/>
        <v>299.44244504698941</v>
      </c>
      <c r="J46">
        <f t="shared" si="6"/>
        <v>1.0040737396944268E-2</v>
      </c>
    </row>
  </sheetData>
  <mergeCells count="6">
    <mergeCell ref="B13:E13"/>
    <mergeCell ref="F13:I13"/>
    <mergeCell ref="F14:I16"/>
    <mergeCell ref="F17:I19"/>
    <mergeCell ref="F20:I22"/>
    <mergeCell ref="B14:E2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49ABA-F1C8-4092-A0E4-32A8F0E12077}">
  <dimension ref="B13:I45"/>
  <sheetViews>
    <sheetView topLeftCell="A20" zoomScaleNormal="100" workbookViewId="0">
      <selection activeCell="K46" sqref="A1:XFD1048576"/>
    </sheetView>
  </sheetViews>
  <sheetFormatPr baseColWidth="10" defaultRowHeight="14.4" x14ac:dyDescent="0.3"/>
  <cols>
    <col min="4" max="5" width="17.44140625" customWidth="1"/>
  </cols>
  <sheetData>
    <row r="13" spans="2:9" x14ac:dyDescent="0.3">
      <c r="B13" s="11" t="s">
        <v>8</v>
      </c>
      <c r="C13" s="11"/>
      <c r="D13" s="11"/>
      <c r="E13" s="11"/>
      <c r="F13" s="11"/>
      <c r="G13" s="11"/>
      <c r="H13" s="11"/>
      <c r="I13" s="11"/>
    </row>
    <row r="14" spans="2:9" x14ac:dyDescent="0.3">
      <c r="B14" s="12"/>
      <c r="C14" s="12"/>
      <c r="D14" s="12"/>
      <c r="E14" s="12"/>
      <c r="F14" s="12"/>
      <c r="G14" s="12"/>
      <c r="H14" s="12"/>
      <c r="I14" s="12"/>
    </row>
    <row r="15" spans="2:9" x14ac:dyDescent="0.3">
      <c r="B15" s="12"/>
      <c r="C15" s="12"/>
      <c r="D15" s="12"/>
      <c r="E15" s="12"/>
      <c r="F15" s="12"/>
      <c r="G15" s="12"/>
      <c r="H15" s="12"/>
      <c r="I15" s="12"/>
    </row>
    <row r="16" spans="2:9" x14ac:dyDescent="0.3">
      <c r="B16" s="12"/>
      <c r="C16" s="12"/>
      <c r="D16" s="12"/>
      <c r="E16" s="12"/>
      <c r="F16" s="12"/>
      <c r="G16" s="12"/>
      <c r="H16" s="12"/>
      <c r="I16" s="12"/>
    </row>
    <row r="17" spans="2:9" x14ac:dyDescent="0.3">
      <c r="B17" s="12"/>
      <c r="C17" s="12"/>
      <c r="D17" s="12"/>
      <c r="E17" s="12"/>
      <c r="F17" s="12"/>
      <c r="G17" s="12"/>
      <c r="H17" s="12"/>
      <c r="I17" s="12"/>
    </row>
    <row r="18" spans="2:9" x14ac:dyDescent="0.3">
      <c r="B18" s="12"/>
      <c r="C18" s="12"/>
      <c r="D18" s="12"/>
      <c r="E18" s="12"/>
      <c r="F18" s="12"/>
      <c r="G18" s="12"/>
      <c r="H18" s="12"/>
      <c r="I18" s="12"/>
    </row>
    <row r="19" spans="2:9" x14ac:dyDescent="0.3">
      <c r="B19" s="12"/>
      <c r="C19" s="12"/>
      <c r="D19" s="12"/>
      <c r="E19" s="12"/>
      <c r="F19" s="12"/>
      <c r="G19" s="12"/>
      <c r="H19" s="12"/>
      <c r="I19" s="12"/>
    </row>
    <row r="20" spans="2:9" x14ac:dyDescent="0.3">
      <c r="B20" s="12"/>
      <c r="C20" s="12"/>
      <c r="D20" s="12"/>
      <c r="E20" s="12"/>
      <c r="F20" s="12"/>
      <c r="G20" s="12"/>
      <c r="H20" s="12"/>
      <c r="I20" s="12"/>
    </row>
    <row r="21" spans="2:9" x14ac:dyDescent="0.3">
      <c r="B21" s="12"/>
      <c r="C21" s="12"/>
      <c r="D21" s="12"/>
      <c r="E21" s="12"/>
      <c r="F21" s="12"/>
      <c r="G21" s="12"/>
      <c r="H21" s="12"/>
      <c r="I21" s="12"/>
    </row>
    <row r="22" spans="2:9" x14ac:dyDescent="0.3">
      <c r="B22" s="12"/>
      <c r="C22" s="12"/>
      <c r="D22" s="12"/>
      <c r="E22" s="12"/>
      <c r="F22" s="12"/>
      <c r="G22" s="12"/>
      <c r="H22" s="12"/>
      <c r="I22" s="12"/>
    </row>
    <row r="24" spans="2:9" x14ac:dyDescent="0.3">
      <c r="D24" s="5" t="s">
        <v>9</v>
      </c>
      <c r="E24" s="5" t="s">
        <v>10</v>
      </c>
      <c r="F24" s="5" t="s">
        <v>5</v>
      </c>
    </row>
    <row r="25" spans="2:9" x14ac:dyDescent="0.3">
      <c r="D25">
        <v>0</v>
      </c>
      <c r="E25">
        <f>(300^(1/4)+(1-300^(1/4))*EXP(-0.3/(4*300^(1/4))*D25))^4</f>
        <v>1</v>
      </c>
      <c r="F25">
        <v>20</v>
      </c>
    </row>
    <row r="26" spans="2:9" x14ac:dyDescent="0.3">
      <c r="D26">
        <f>D25+$F$25</f>
        <v>20</v>
      </c>
      <c r="E26">
        <f t="shared" ref="E26:E45" si="0">(300^(1/4)+(1-300^(1/4))*EXP(-0.3/(4*300^(1/4))*D26))^4</f>
        <v>14.66218192543435</v>
      </c>
    </row>
    <row r="27" spans="2:9" x14ac:dyDescent="0.3">
      <c r="D27">
        <f t="shared" ref="D27:D45" si="1">D26+$F$25</f>
        <v>40</v>
      </c>
      <c r="E27">
        <f t="shared" si="0"/>
        <v>47.414171381012579</v>
      </c>
    </row>
    <row r="28" spans="2:9" x14ac:dyDescent="0.3">
      <c r="D28">
        <f t="shared" si="1"/>
        <v>60</v>
      </c>
      <c r="E28">
        <f t="shared" si="0"/>
        <v>91.097640206791112</v>
      </c>
    </row>
    <row r="29" spans="2:9" x14ac:dyDescent="0.3">
      <c r="D29">
        <f t="shared" si="1"/>
        <v>80</v>
      </c>
      <c r="E29">
        <f t="shared" si="0"/>
        <v>135.83836700992958</v>
      </c>
    </row>
    <row r="30" spans="2:9" x14ac:dyDescent="0.3">
      <c r="D30">
        <f t="shared" si="1"/>
        <v>100</v>
      </c>
      <c r="E30">
        <f t="shared" si="0"/>
        <v>175.60046114433572</v>
      </c>
    </row>
    <row r="31" spans="2:9" x14ac:dyDescent="0.3">
      <c r="D31">
        <f t="shared" si="1"/>
        <v>120</v>
      </c>
      <c r="E31">
        <f t="shared" si="0"/>
        <v>208.09226689289258</v>
      </c>
    </row>
    <row r="32" spans="2:9" x14ac:dyDescent="0.3">
      <c r="D32">
        <f t="shared" si="1"/>
        <v>140</v>
      </c>
      <c r="E32">
        <f t="shared" si="0"/>
        <v>233.2827329567624</v>
      </c>
    </row>
    <row r="33" spans="4:5" x14ac:dyDescent="0.3">
      <c r="D33">
        <f t="shared" si="1"/>
        <v>160</v>
      </c>
      <c r="E33">
        <f t="shared" si="0"/>
        <v>252.15694606615767</v>
      </c>
    </row>
    <row r="34" spans="4:5" x14ac:dyDescent="0.3">
      <c r="D34">
        <f t="shared" si="1"/>
        <v>180</v>
      </c>
      <c r="E34">
        <f t="shared" si="0"/>
        <v>265.98141977142052</v>
      </c>
    </row>
    <row r="35" spans="4:5" x14ac:dyDescent="0.3">
      <c r="D35">
        <f t="shared" si="1"/>
        <v>200</v>
      </c>
      <c r="E35">
        <f t="shared" si="0"/>
        <v>275.953388230754</v>
      </c>
    </row>
    <row r="36" spans="4:5" x14ac:dyDescent="0.3">
      <c r="D36">
        <f t="shared" si="1"/>
        <v>220</v>
      </c>
      <c r="E36">
        <f t="shared" si="0"/>
        <v>283.07177753248936</v>
      </c>
    </row>
    <row r="37" spans="4:5" x14ac:dyDescent="0.3">
      <c r="D37">
        <f t="shared" si="1"/>
        <v>240</v>
      </c>
      <c r="E37">
        <f t="shared" si="0"/>
        <v>288.11690033091929</v>
      </c>
    </row>
    <row r="38" spans="4:5" x14ac:dyDescent="0.3">
      <c r="D38">
        <f t="shared" si="1"/>
        <v>260</v>
      </c>
      <c r="E38">
        <f t="shared" si="0"/>
        <v>291.67498123996745</v>
      </c>
    </row>
    <row r="39" spans="4:5" x14ac:dyDescent="0.3">
      <c r="D39">
        <f t="shared" si="1"/>
        <v>280</v>
      </c>
      <c r="E39">
        <f t="shared" si="0"/>
        <v>294.1757563830904</v>
      </c>
    </row>
    <row r="40" spans="4:5" x14ac:dyDescent="0.3">
      <c r="D40">
        <f t="shared" si="1"/>
        <v>300</v>
      </c>
      <c r="E40">
        <f t="shared" si="0"/>
        <v>295.92924564874346</v>
      </c>
    </row>
    <row r="41" spans="4:5" x14ac:dyDescent="0.3">
      <c r="D41">
        <f t="shared" si="1"/>
        <v>320</v>
      </c>
      <c r="E41">
        <f t="shared" si="0"/>
        <v>297.15672911573921</v>
      </c>
    </row>
    <row r="42" spans="4:5" x14ac:dyDescent="0.3">
      <c r="D42">
        <f t="shared" si="1"/>
        <v>340</v>
      </c>
      <c r="E42">
        <f t="shared" si="0"/>
        <v>298.01501147462045</v>
      </c>
    </row>
    <row r="43" spans="4:5" x14ac:dyDescent="0.3">
      <c r="D43">
        <f t="shared" si="1"/>
        <v>360</v>
      </c>
      <c r="E43">
        <f t="shared" si="0"/>
        <v>298.6146617495499</v>
      </c>
    </row>
    <row r="44" spans="4:5" x14ac:dyDescent="0.3">
      <c r="D44">
        <f t="shared" si="1"/>
        <v>380</v>
      </c>
      <c r="E44">
        <f t="shared" si="0"/>
        <v>299.03338243464492</v>
      </c>
    </row>
    <row r="45" spans="4:5" x14ac:dyDescent="0.3">
      <c r="D45">
        <f t="shared" si="1"/>
        <v>400</v>
      </c>
      <c r="E45" s="4">
        <f t="shared" si="0"/>
        <v>299.32565129174293</v>
      </c>
    </row>
  </sheetData>
  <mergeCells count="4">
    <mergeCell ref="B17:I19"/>
    <mergeCell ref="B20:I22"/>
    <mergeCell ref="B13:I13"/>
    <mergeCell ref="B14:I1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55DA4-3E0F-46A3-8E2F-0645381C2462}">
  <dimension ref="B13:F39"/>
  <sheetViews>
    <sheetView tabSelected="1" topLeftCell="A13" workbookViewId="0">
      <selection activeCell="L33" sqref="L33"/>
    </sheetView>
  </sheetViews>
  <sheetFormatPr baseColWidth="10" defaultRowHeight="14.4" x14ac:dyDescent="0.3"/>
  <cols>
    <col min="3" max="3" width="12.21875" customWidth="1"/>
    <col min="5" max="5" width="18.109375" customWidth="1"/>
    <col min="6" max="6" width="18.6640625" customWidth="1"/>
  </cols>
  <sheetData>
    <row r="13" spans="2:6" x14ac:dyDescent="0.3">
      <c r="B13" t="s">
        <v>29</v>
      </c>
    </row>
    <row r="15" spans="2:6" ht="16.2" customHeight="1" x14ac:dyDescent="0.3">
      <c r="C15" s="7" t="s">
        <v>19</v>
      </c>
      <c r="D15" s="7" t="s">
        <v>23</v>
      </c>
      <c r="E15" s="7" t="s">
        <v>24</v>
      </c>
      <c r="F15" s="7" t="s">
        <v>25</v>
      </c>
    </row>
    <row r="16" spans="2:6" x14ac:dyDescent="0.3">
      <c r="C16" t="s">
        <v>20</v>
      </c>
      <c r="D16">
        <f>Exacto!E45</f>
        <v>299.32565129174293</v>
      </c>
      <c r="E16" s="1" t="s">
        <v>26</v>
      </c>
      <c r="F16" s="1" t="s">
        <v>26</v>
      </c>
    </row>
    <row r="17" spans="3:6" x14ac:dyDescent="0.3">
      <c r="C17" s="8" t="s">
        <v>21</v>
      </c>
      <c r="D17" s="8">
        <f>Euler!E40</f>
        <v>299.67733632459846</v>
      </c>
      <c r="E17" s="8">
        <f>ABS(D17-D16)</f>
        <v>0.35168503285552788</v>
      </c>
      <c r="F17" s="8">
        <f>ABS(E17/$D$16)*100</f>
        <v>0.1174924472185486</v>
      </c>
    </row>
    <row r="18" spans="3:6" x14ac:dyDescent="0.3">
      <c r="C18" s="9" t="s">
        <v>22</v>
      </c>
      <c r="D18" s="9">
        <f>Heun!D46</f>
        <v>299.12878127811155</v>
      </c>
      <c r="E18" s="9">
        <f>ABS(D18-D16)</f>
        <v>0.19687001363138279</v>
      </c>
      <c r="F18" s="9">
        <f>ABS(E18/$D$16)*100</f>
        <v>6.5771180245257369E-2</v>
      </c>
    </row>
    <row r="21" spans="3:6" x14ac:dyDescent="0.3">
      <c r="C21" s="2" t="s">
        <v>27</v>
      </c>
    </row>
    <row r="23" spans="3:6" ht="14.4" customHeight="1" x14ac:dyDescent="0.3">
      <c r="C23" s="14" t="s">
        <v>30</v>
      </c>
      <c r="D23" s="14"/>
      <c r="E23" s="14"/>
      <c r="F23" s="14"/>
    </row>
    <row r="24" spans="3:6" x14ac:dyDescent="0.3">
      <c r="C24" s="14"/>
      <c r="D24" s="14"/>
      <c r="E24" s="14"/>
      <c r="F24" s="14"/>
    </row>
    <row r="25" spans="3:6" x14ac:dyDescent="0.3">
      <c r="C25" s="14"/>
      <c r="D25" s="14"/>
      <c r="E25" s="14"/>
      <c r="F25" s="14"/>
    </row>
    <row r="26" spans="3:6" x14ac:dyDescent="0.3">
      <c r="C26" s="14"/>
      <c r="D26" s="14"/>
      <c r="E26" s="14"/>
      <c r="F26" s="14"/>
    </row>
    <row r="27" spans="3:6" x14ac:dyDescent="0.3">
      <c r="C27" s="14"/>
      <c r="D27" s="14"/>
      <c r="E27" s="14"/>
      <c r="F27" s="14"/>
    </row>
    <row r="28" spans="3:6" x14ac:dyDescent="0.3">
      <c r="C28" s="14"/>
      <c r="D28" s="14"/>
      <c r="E28" s="14"/>
      <c r="F28" s="14"/>
    </row>
    <row r="29" spans="3:6" x14ac:dyDescent="0.3">
      <c r="C29" s="14"/>
      <c r="D29" s="14"/>
      <c r="E29" s="14"/>
      <c r="F29" s="14"/>
    </row>
    <row r="30" spans="3:6" x14ac:dyDescent="0.3">
      <c r="C30" s="10"/>
      <c r="D30" s="10"/>
      <c r="E30" s="10"/>
      <c r="F30" s="10"/>
    </row>
    <row r="31" spans="3:6" x14ac:dyDescent="0.3">
      <c r="C31" s="14" t="s">
        <v>28</v>
      </c>
      <c r="D31" s="14"/>
      <c r="E31" s="14"/>
      <c r="F31" s="14"/>
    </row>
    <row r="32" spans="3:6" x14ac:dyDescent="0.3">
      <c r="C32" s="14"/>
      <c r="D32" s="14"/>
      <c r="E32" s="14"/>
      <c r="F32" s="14"/>
    </row>
    <row r="33" spans="3:6" x14ac:dyDescent="0.3">
      <c r="C33" s="14"/>
      <c r="D33" s="14"/>
      <c r="E33" s="14"/>
      <c r="F33" s="14"/>
    </row>
    <row r="34" spans="3:6" x14ac:dyDescent="0.3">
      <c r="C34" s="14"/>
      <c r="D34" s="14"/>
      <c r="E34" s="14"/>
      <c r="F34" s="14"/>
    </row>
    <row r="35" spans="3:6" x14ac:dyDescent="0.3">
      <c r="C35" s="14"/>
      <c r="D35" s="14"/>
      <c r="E35" s="14"/>
      <c r="F35" s="14"/>
    </row>
    <row r="36" spans="3:6" x14ac:dyDescent="0.3">
      <c r="C36" s="14"/>
      <c r="D36" s="14"/>
      <c r="E36" s="14"/>
      <c r="F36" s="14"/>
    </row>
    <row r="37" spans="3:6" x14ac:dyDescent="0.3">
      <c r="C37" s="10"/>
      <c r="D37" s="10"/>
      <c r="E37" s="10"/>
      <c r="F37" s="10"/>
    </row>
    <row r="38" spans="3:6" x14ac:dyDescent="0.3">
      <c r="C38" s="10"/>
      <c r="D38" s="10"/>
      <c r="E38" s="10"/>
      <c r="F38" s="10"/>
    </row>
    <row r="39" spans="3:6" x14ac:dyDescent="0.3">
      <c r="C39" s="10"/>
      <c r="D39" s="10"/>
      <c r="E39" s="10"/>
      <c r="F39" s="10"/>
    </row>
  </sheetData>
  <mergeCells count="2">
    <mergeCell ref="C31:F36"/>
    <mergeCell ref="C23:F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Euler</vt:lpstr>
      <vt:lpstr>Heun</vt:lpstr>
      <vt:lpstr>Exacto</vt:lpstr>
      <vt:lpstr>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dc:creator>
  <cp:lastModifiedBy>MICHELLE</cp:lastModifiedBy>
  <dcterms:created xsi:type="dcterms:W3CDTF">2025-12-01T16:51:36Z</dcterms:created>
  <dcterms:modified xsi:type="dcterms:W3CDTF">2025-12-01T19:31:37Z</dcterms:modified>
</cp:coreProperties>
</file>