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"/>
    </mc:Choice>
  </mc:AlternateContent>
  <xr:revisionPtr revIDLastSave="0" documentId="8_{FBC026AA-C7BA-4D5A-853D-0260660189CE}" xr6:coauthVersionLast="47" xr6:coauthVersionMax="47" xr10:uidLastSave="{00000000-0000-0000-0000-000000000000}"/>
  <bookViews>
    <workbookView xWindow="-108" yWindow="-108" windowWidth="23256" windowHeight="12456" activeTab="3" xr2:uid="{DE2BC92F-2B49-492D-BDD4-F60CF92E95B2}"/>
  </bookViews>
  <sheets>
    <sheet name="Euler" sheetId="1" r:id="rId1"/>
    <sheet name="Heun" sheetId="2" r:id="rId2"/>
    <sheet name="Exacto" sheetId="3" r:id="rId3"/>
    <sheet name="Conclusion" sheetId="4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2" i="3" l="1"/>
  <c r="D18" i="4"/>
  <c r="D17" i="4"/>
  <c r="B26" i="3"/>
  <c r="C26" i="3" s="1"/>
  <c r="J31" i="2"/>
  <c r="I31" i="2"/>
  <c r="H30" i="2"/>
  <c r="D29" i="2"/>
  <c r="J26" i="2"/>
  <c r="I27" i="2"/>
  <c r="J36" i="2"/>
  <c r="J27" i="2"/>
  <c r="G21" i="1"/>
  <c r="F26" i="2"/>
  <c r="C27" i="2"/>
  <c r="C28" i="2" s="1"/>
  <c r="C29" i="2" s="1"/>
  <c r="G29" i="2" s="1"/>
  <c r="G26" i="2"/>
  <c r="H26" i="2"/>
  <c r="I26" i="2" s="1"/>
  <c r="G20" i="1"/>
  <c r="E21" i="1" s="1"/>
  <c r="D21" i="1"/>
  <c r="D22" i="1" s="1"/>
  <c r="D23" i="1" s="1"/>
  <c r="D24" i="1" s="1"/>
  <c r="D25" i="1" s="1"/>
  <c r="D26" i="1" s="1"/>
  <c r="D27" i="1" s="1"/>
  <c r="D28" i="1" s="1"/>
  <c r="D29" i="1" s="1"/>
  <c r="D30" i="1" s="1"/>
  <c r="B27" i="3" l="1"/>
  <c r="C27" i="3" s="1"/>
  <c r="B28" i="3"/>
  <c r="C28" i="3" s="1"/>
  <c r="D27" i="2"/>
  <c r="F27" i="2" s="1"/>
  <c r="G28" i="2"/>
  <c r="C30" i="2"/>
  <c r="G27" i="2"/>
  <c r="E22" i="1"/>
  <c r="G22" i="1" s="1"/>
  <c r="B29" i="3" l="1"/>
  <c r="C29" i="3" s="1"/>
  <c r="C31" i="2"/>
  <c r="G30" i="2"/>
  <c r="H27" i="2"/>
  <c r="E23" i="1"/>
  <c r="G23" i="1" s="1"/>
  <c r="B30" i="3" l="1"/>
  <c r="C30" i="3" s="1"/>
  <c r="D28" i="2"/>
  <c r="F28" i="2" s="1"/>
  <c r="H28" i="2" s="1"/>
  <c r="G31" i="2"/>
  <c r="C32" i="2"/>
  <c r="E24" i="1"/>
  <c r="G24" i="1" s="1"/>
  <c r="B31" i="3" l="1"/>
  <c r="C31" i="3" s="1"/>
  <c r="I28" i="2"/>
  <c r="C33" i="2"/>
  <c r="G32" i="2"/>
  <c r="E25" i="1"/>
  <c r="G25" i="1" s="1"/>
  <c r="B32" i="3" l="1"/>
  <c r="C32" i="3" s="1"/>
  <c r="J28" i="2"/>
  <c r="F29" i="2" s="1"/>
  <c r="H29" i="2" s="1"/>
  <c r="C34" i="2"/>
  <c r="G33" i="2"/>
  <c r="E26" i="1"/>
  <c r="G26" i="1" s="1"/>
  <c r="B33" i="3" l="1"/>
  <c r="C33" i="3" s="1"/>
  <c r="I29" i="2"/>
  <c r="J29" i="2" s="1"/>
  <c r="G34" i="2"/>
  <c r="C35" i="2"/>
  <c r="D30" i="2"/>
  <c r="F30" i="2" s="1"/>
  <c r="E27" i="1"/>
  <c r="G27" i="1" s="1"/>
  <c r="B34" i="3" l="1"/>
  <c r="C34" i="3" s="1"/>
  <c r="C36" i="2"/>
  <c r="G35" i="2"/>
  <c r="E28" i="1"/>
  <c r="G28" i="1" s="1"/>
  <c r="B35" i="3" l="1"/>
  <c r="C35" i="3" s="1"/>
  <c r="D16" i="4" s="1"/>
  <c r="I30" i="2"/>
  <c r="J30" i="2" s="1"/>
  <c r="D31" i="2"/>
  <c r="F31" i="2" s="1"/>
  <c r="G36" i="2"/>
  <c r="E29" i="1"/>
  <c r="G29" i="1" s="1"/>
  <c r="E18" i="4" l="1"/>
  <c r="F18" i="4" s="1"/>
  <c r="E17" i="4"/>
  <c r="F17" i="4" s="1"/>
  <c r="H31" i="2"/>
  <c r="E30" i="1"/>
  <c r="G30" i="1" s="1"/>
  <c r="D32" i="2" l="1"/>
  <c r="F32" i="2" s="1"/>
  <c r="H32" i="2" s="1"/>
  <c r="I32" i="2" l="1"/>
  <c r="J32" i="2" l="1"/>
  <c r="D33" i="2" s="1"/>
  <c r="F33" i="2" s="1"/>
  <c r="H33" i="2" s="1"/>
  <c r="I33" i="2" l="1"/>
  <c r="J33" i="2" s="1"/>
  <c r="D34" i="2"/>
  <c r="F34" i="2" s="1"/>
  <c r="H34" i="2" l="1"/>
  <c r="I34" i="2" l="1"/>
  <c r="J34" i="2" l="1"/>
  <c r="D35" i="2" s="1"/>
  <c r="F35" i="2" s="1"/>
  <c r="H35" i="2" s="1"/>
  <c r="I35" i="2" l="1"/>
  <c r="J35" i="2" s="1"/>
  <c r="D36" i="2"/>
  <c r="F36" i="2" s="1"/>
  <c r="H36" i="2" l="1"/>
  <c r="I36" i="2"/>
</calcChain>
</file>

<file path=xl/sharedStrings.xml><?xml version="1.0" encoding="utf-8"?>
<sst xmlns="http://schemas.openxmlformats.org/spreadsheetml/2006/main" count="43" uniqueCount="35">
  <si>
    <t>FUNCION</t>
  </si>
  <si>
    <t>METODO EULER</t>
  </si>
  <si>
    <t>#</t>
  </si>
  <si>
    <t>t</t>
  </si>
  <si>
    <t>h</t>
  </si>
  <si>
    <t>w</t>
  </si>
  <si>
    <t>f(t,w)</t>
  </si>
  <si>
    <t>METODO HEUN</t>
  </si>
  <si>
    <t>k1</t>
  </si>
  <si>
    <t>A</t>
  </si>
  <si>
    <t>B</t>
  </si>
  <si>
    <t>k2</t>
  </si>
  <si>
    <t>t_i+h</t>
  </si>
  <si>
    <t>h*k_1</t>
  </si>
  <si>
    <t>f(A,B)</t>
  </si>
  <si>
    <t>w+(h*k_1)</t>
  </si>
  <si>
    <t>DATOS INICIALES</t>
  </si>
  <si>
    <t>t(dias)</t>
  </si>
  <si>
    <t>Comparamos los resultado en ambos metodos con la solucion exacta</t>
  </si>
  <si>
    <t>Metodo</t>
  </si>
  <si>
    <t>Resultado</t>
  </si>
  <si>
    <t>Error Absoluto</t>
  </si>
  <si>
    <t>Error Relativo %</t>
  </si>
  <si>
    <t>Exacto</t>
  </si>
  <si>
    <t>-</t>
  </si>
  <si>
    <t>Euler</t>
  </si>
  <si>
    <t>Heun</t>
  </si>
  <si>
    <t>CONCLUSION</t>
  </si>
  <si>
    <t>w_exacta(t)</t>
  </si>
  <si>
    <t>Peso maximo</t>
  </si>
  <si>
    <t>w_max=</t>
  </si>
  <si>
    <t>a=</t>
  </si>
  <si>
    <t>b=</t>
  </si>
  <si>
    <r>
      <t xml:space="preserve">Al comparar los métodos de Euler y Heun con la solución exacta del crecimiento del pez, se observa que los tres modelos se acercan bien al comportamiento real. El método exacto muestra que el pez tiende a un peso máximo de </t>
    </r>
    <r>
      <rPr>
        <b/>
        <sz val="11"/>
        <color theme="1"/>
        <rFont val="Calibri"/>
        <family val="2"/>
        <scheme val="minor"/>
      </rPr>
      <t>15.625 lb</t>
    </r>
    <r>
      <rPr>
        <sz val="11"/>
        <color theme="1"/>
        <rFont val="Calibri"/>
        <family val="2"/>
        <scheme val="minor"/>
      </rPr>
      <t xml:space="preserve">, y en t=10 días alcanza aproximadamente </t>
    </r>
    <r>
      <rPr>
        <b/>
        <sz val="11"/>
        <color theme="1"/>
        <rFont val="Calibri"/>
        <family val="2"/>
        <scheme val="minor"/>
      </rPr>
      <t>15.5843 lb</t>
    </r>
    <r>
      <rPr>
        <sz val="11"/>
        <color theme="1"/>
        <rFont val="Calibri"/>
        <family val="2"/>
        <scheme val="minor"/>
      </rPr>
      <t xml:space="preserve">. En ese mismo punto, Euler obtiene </t>
    </r>
    <r>
      <rPr>
        <b/>
        <sz val="11"/>
        <color theme="1"/>
        <rFont val="Calibri"/>
        <family val="2"/>
        <scheme val="minor"/>
      </rPr>
      <t>15.6223 lb</t>
    </r>
    <r>
      <rPr>
        <sz val="11"/>
        <color theme="1"/>
        <rFont val="Calibri"/>
        <family val="2"/>
        <scheme val="minor"/>
      </rPr>
      <t xml:space="preserve"> y Heun </t>
    </r>
    <r>
      <rPr>
        <b/>
        <sz val="11"/>
        <color theme="1"/>
        <rFont val="Calibri"/>
        <family val="2"/>
        <scheme val="minor"/>
      </rPr>
      <t>15.5454 lb</t>
    </r>
    <r>
      <rPr>
        <sz val="11"/>
        <color theme="1"/>
        <rFont val="Calibri"/>
        <family val="2"/>
        <scheme val="minor"/>
      </rPr>
      <t xml:space="preserve">, con errores relativos de </t>
    </r>
    <r>
      <rPr>
        <b/>
        <sz val="11"/>
        <color theme="1"/>
        <rFont val="Calibri"/>
        <family val="2"/>
        <scheme val="minor"/>
      </rPr>
      <t>0.2434%</t>
    </r>
    <r>
      <rPr>
        <sz val="11"/>
        <color theme="1"/>
        <rFont val="Calibri"/>
        <family val="2"/>
        <scheme val="minor"/>
      </rPr>
      <t xml:space="preserve"> y </t>
    </r>
    <r>
      <rPr>
        <b/>
        <sz val="11"/>
        <color theme="1"/>
        <rFont val="Calibri"/>
        <family val="2"/>
        <scheme val="minor"/>
      </rPr>
      <t>0.2500%</t>
    </r>
    <r>
      <rPr>
        <sz val="11"/>
        <color theme="1"/>
        <rFont val="Calibri"/>
        <family val="2"/>
        <scheme val="minor"/>
      </rPr>
      <t>, respectivamente.</t>
    </r>
  </si>
  <si>
    <t>Aun así, Heun se comporta mejor durante la mayoría del proceso porque usa una pendiente corregida y eso hace que sus aproximaciones sean más estables paso a paso. En resumen, los dos métodos funcionan bien, pero Heun suele dar resultados un poco más consistentes cuando se quiere representar mejor la evolución del peso en el tiempo.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</si>
</sst>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1" fillId="4" borderId="0" xfId="0" applyFont="1" applyFill="1"/>
    <xf numFmtId="0" fontId="1" fillId="5" borderId="0" xfId="0" applyFont="1" applyFill="1"/>
    <xf numFmtId="0" fontId="0" fillId="0" borderId="0" xfId="0" applyFont="1" applyFill="1"/>
    <xf numFmtId="0" fontId="1" fillId="0" borderId="0" xfId="0" applyFont="1" applyAlignment="1">
      <alignment horizontal="center"/>
    </xf>
    <xf numFmtId="0" fontId="1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Fill="1"/>
    <xf numFmtId="0" fontId="1" fillId="0" borderId="0" xfId="0" applyFont="1" applyFill="1"/>
    <xf numFmtId="0" fontId="1" fillId="4" borderId="0" xfId="0" applyFont="1" applyFill="1" applyAlignment="1">
      <alignment horizontal="center" wrapText="1"/>
    </xf>
    <xf numFmtId="0" fontId="0" fillId="6" borderId="0" xfId="0" applyFill="1"/>
    <xf numFmtId="0" fontId="0" fillId="3" borderId="0" xfId="0" applyFill="1"/>
    <xf numFmtId="0" fontId="1" fillId="0" borderId="0" xfId="0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Euler!$E$19</c:f>
              <c:strCache>
                <c:ptCount val="1"/>
                <c:pt idx="0">
                  <c:v>w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Euler!$D$20:$D$30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Euler!$E$20:$E$30</c:f>
              <c:numCache>
                <c:formatCode>General</c:formatCode>
                <c:ptCount val="11"/>
                <c:pt idx="0">
                  <c:v>0.5</c:v>
                </c:pt>
                <c:pt idx="1">
                  <c:v>2.6498026247371831</c:v>
                </c:pt>
                <c:pt idx="2">
                  <c:v>6.9246147353718976</c:v>
                </c:pt>
                <c:pt idx="3">
                  <c:v>11.240316077736729</c:v>
                </c:pt>
                <c:pt idx="4">
                  <c:v>13.849011401335268</c:v>
                </c:pt>
                <c:pt idx="5">
                  <c:v>14.985716189379552</c:v>
                </c:pt>
                <c:pt idx="6">
                  <c:v>15.4059847183842</c:v>
                </c:pt>
                <c:pt idx="7">
                  <c:v>15.551308413859473</c:v>
                </c:pt>
                <c:pt idx="8">
                  <c:v>15.600358742552096</c:v>
                </c:pt>
                <c:pt idx="9">
                  <c:v>15.616777605845613</c:v>
                </c:pt>
                <c:pt idx="10">
                  <c:v>15.622258240190909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B6-4F9D-B24F-B9205ACE9E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7513391"/>
        <c:axId val="607513871"/>
      </c:scatterChart>
      <c:valAx>
        <c:axId val="607513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07513871"/>
        <c:crosses val="autoZero"/>
        <c:crossBetween val="midCat"/>
      </c:valAx>
      <c:valAx>
        <c:axId val="607513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075133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Heun!$D$25</c:f>
              <c:strCache>
                <c:ptCount val="1"/>
                <c:pt idx="0">
                  <c:v>w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Heun!$C$26:$C$36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Heun!$D$26:$D$36</c:f>
              <c:numCache>
                <c:formatCode>General</c:formatCode>
                <c:ptCount val="11"/>
                <c:pt idx="0">
                  <c:v>0.5</c:v>
                </c:pt>
                <c:pt idx="1">
                  <c:v>3.7123073676859488</c:v>
                </c:pt>
                <c:pt idx="2">
                  <c:v>7.946625286350546</c:v>
                </c:pt>
                <c:pt idx="3">
                  <c:v>11.068871727488046</c:v>
                </c:pt>
                <c:pt idx="4">
                  <c:v>13.010872684275382</c:v>
                </c:pt>
                <c:pt idx="5">
                  <c:v>14.148194206039033</c:v>
                </c:pt>
                <c:pt idx="6">
                  <c:v>14.797165411715394</c:v>
                </c:pt>
                <c:pt idx="7">
                  <c:v>15.162841831407333</c:v>
                </c:pt>
                <c:pt idx="8">
                  <c:v>15.367556037385665</c:v>
                </c:pt>
                <c:pt idx="9">
                  <c:v>15.481763647518079</c:v>
                </c:pt>
                <c:pt idx="10">
                  <c:v>15.545358984634042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0B-4CB8-BEB3-A8D32BA933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7482671"/>
        <c:axId val="607489871"/>
      </c:scatterChart>
      <c:valAx>
        <c:axId val="607482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07489871"/>
        <c:crosses val="autoZero"/>
        <c:crossBetween val="midCat"/>
      </c:valAx>
      <c:valAx>
        <c:axId val="607489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074826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Exacto!$C$24</c:f>
              <c:strCache>
                <c:ptCount val="1"/>
                <c:pt idx="0">
                  <c:v>w_exacta(t)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Exacto!$B$25:$B$35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Exacto!$C$25:$C$35</c:f>
              <c:numCache>
                <c:formatCode>General</c:formatCode>
                <c:ptCount val="11"/>
                <c:pt idx="0">
                  <c:v>0.5</c:v>
                </c:pt>
                <c:pt idx="1">
                  <c:v>4.2827555620548496</c:v>
                </c:pt>
                <c:pt idx="2">
                  <c:v>8.6179536998015553</c:v>
                </c:pt>
                <c:pt idx="3">
                  <c:v>11.682827794697335</c:v>
                </c:pt>
                <c:pt idx="4">
                  <c:v>13.505764225663038</c:v>
                </c:pt>
                <c:pt idx="5">
                  <c:v>14.511241432742152</c:v>
                </c:pt>
                <c:pt idx="6">
                  <c:v>15.046320272748767</c:v>
                </c:pt>
                <c:pt idx="7">
                  <c:v>15.326077495607297</c:v>
                </c:pt>
                <c:pt idx="8">
                  <c:v>15.471047256912549</c:v>
                </c:pt>
                <c:pt idx="9">
                  <c:v>15.545831085170796</c:v>
                </c:pt>
                <c:pt idx="10">
                  <c:v>15.584319835435055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E3-4064-8661-64E1D34452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306735"/>
        <c:axId val="38307695"/>
      </c:scatterChart>
      <c:valAx>
        <c:axId val="38306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8307695"/>
        <c:crosses val="autoZero"/>
        <c:crossBetween val="midCat"/>
      </c:valAx>
      <c:valAx>
        <c:axId val="38307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8306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1.jpeg"/><Relationship Id="rId5" Type="http://schemas.openxmlformats.org/officeDocument/2006/relationships/image" Target="../media/image7.png"/><Relationship Id="rId4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121920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14370CFF-43E1-C0FF-2E5C-2BD2167BE6F3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304800</xdr:colOff>
      <xdr:row>20</xdr:row>
      <xdr:rowOff>121920</xdr:rowOff>
    </xdr:to>
    <xdr:sp macro="" textlink="">
      <xdr:nvSpPr>
        <xdr:cNvPr id="1028" name="AutoShape 4">
          <a:extLst>
            <a:ext uri="{FF2B5EF4-FFF2-40B4-BE49-F238E27FC236}">
              <a16:creationId xmlns:a16="http://schemas.microsoft.com/office/drawing/2014/main" id="{E89E5B5D-3603-7105-779B-91EBB8F08D6C}"/>
            </a:ext>
          </a:extLst>
        </xdr:cNvPr>
        <xdr:cNvSpPr>
          <a:spLocks noChangeAspect="1" noChangeArrowheads="1"/>
        </xdr:cNvSpPr>
      </xdr:nvSpPr>
      <xdr:spPr bwMode="auto">
        <a:xfrm>
          <a:off x="0" y="3474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38100</xdr:colOff>
      <xdr:row>1</xdr:row>
      <xdr:rowOff>160021</xdr:rowOff>
    </xdr:from>
    <xdr:to>
      <xdr:col>8</xdr:col>
      <xdr:colOff>632460</xdr:colOff>
      <xdr:row>11</xdr:row>
      <xdr:rowOff>26275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3B79B86E-76FC-E11E-9192-A5081609D4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580" y="342901"/>
          <a:ext cx="6141720" cy="1695054"/>
        </a:xfrm>
        <a:prstGeom prst="rect">
          <a:avLst/>
        </a:prstGeom>
      </xdr:spPr>
    </xdr:pic>
    <xdr:clientData/>
  </xdr:twoCellAnchor>
  <xdr:twoCellAnchor editAs="oneCell">
    <xdr:from>
      <xdr:col>1</xdr:col>
      <xdr:colOff>289560</xdr:colOff>
      <xdr:row>13</xdr:row>
      <xdr:rowOff>129541</xdr:rowOff>
    </xdr:from>
    <xdr:to>
      <xdr:col>4</xdr:col>
      <xdr:colOff>547345</xdr:colOff>
      <xdr:row>15</xdr:row>
      <xdr:rowOff>83821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482654D-D02C-62B6-2C2C-31F9159E3C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82040" y="2506981"/>
          <a:ext cx="2635225" cy="320040"/>
        </a:xfrm>
        <a:prstGeom prst="rect">
          <a:avLst/>
        </a:prstGeom>
      </xdr:spPr>
    </xdr:pic>
    <xdr:clientData/>
  </xdr:twoCellAnchor>
  <xdr:twoCellAnchor editAs="oneCell">
    <xdr:from>
      <xdr:col>5</xdr:col>
      <xdr:colOff>365760</xdr:colOff>
      <xdr:row>13</xdr:row>
      <xdr:rowOff>83820</xdr:rowOff>
    </xdr:from>
    <xdr:to>
      <xdr:col>8</xdr:col>
      <xdr:colOff>484218</xdr:colOff>
      <xdr:row>15</xdr:row>
      <xdr:rowOff>146745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FE7660F0-5EBB-9C2C-13FA-D6841F16C1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28160" y="2461260"/>
          <a:ext cx="2495898" cy="428685"/>
        </a:xfrm>
        <a:prstGeom prst="rect">
          <a:avLst/>
        </a:prstGeom>
      </xdr:spPr>
    </xdr:pic>
    <xdr:clientData/>
  </xdr:twoCellAnchor>
  <xdr:twoCellAnchor>
    <xdr:from>
      <xdr:col>7</xdr:col>
      <xdr:colOff>342900</xdr:colOff>
      <xdr:row>17</xdr:row>
      <xdr:rowOff>34290</xdr:rowOff>
    </xdr:from>
    <xdr:to>
      <xdr:col>13</xdr:col>
      <xdr:colOff>160020</xdr:colOff>
      <xdr:row>32</xdr:row>
      <xdr:rowOff>34290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0A676A85-A557-D148-DAAA-6EB47BE4C0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</xdr:colOff>
      <xdr:row>1</xdr:row>
      <xdr:rowOff>38100</xdr:rowOff>
    </xdr:from>
    <xdr:to>
      <xdr:col>8</xdr:col>
      <xdr:colOff>640080</xdr:colOff>
      <xdr:row>10</xdr:row>
      <xdr:rowOff>87234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2EE7D2EB-E1E0-4399-82BE-FBE4A0F56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0" y="220980"/>
          <a:ext cx="6141720" cy="1695054"/>
        </a:xfrm>
        <a:prstGeom prst="rect">
          <a:avLst/>
        </a:prstGeom>
      </xdr:spPr>
    </xdr:pic>
    <xdr:clientData/>
  </xdr:twoCellAnchor>
  <xdr:twoCellAnchor editAs="oneCell">
    <xdr:from>
      <xdr:col>1</xdr:col>
      <xdr:colOff>26901</xdr:colOff>
      <xdr:row>16</xdr:row>
      <xdr:rowOff>19400</xdr:rowOff>
    </xdr:from>
    <xdr:to>
      <xdr:col>4</xdr:col>
      <xdr:colOff>752372</xdr:colOff>
      <xdr:row>18</xdr:row>
      <xdr:rowOff>30479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D05E1693-4202-46C2-B38B-D6ED9993D7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9381" y="2945480"/>
          <a:ext cx="3102911" cy="376839"/>
        </a:xfrm>
        <a:prstGeom prst="rect">
          <a:avLst/>
        </a:prstGeom>
      </xdr:spPr>
    </xdr:pic>
    <xdr:clientData/>
  </xdr:twoCellAnchor>
  <xdr:twoCellAnchor editAs="oneCell">
    <xdr:from>
      <xdr:col>5</xdr:col>
      <xdr:colOff>285981</xdr:colOff>
      <xdr:row>13</xdr:row>
      <xdr:rowOff>49881</xdr:rowOff>
    </xdr:from>
    <xdr:to>
      <xdr:col>8</xdr:col>
      <xdr:colOff>375829</xdr:colOff>
      <xdr:row>21</xdr:row>
      <xdr:rowOff>144780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BDCB941E-9C43-4640-501B-DCFCBE5FA0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b="10697"/>
        <a:stretch>
          <a:fillRect/>
        </a:stretch>
      </xdr:blipFill>
      <xdr:spPr>
        <a:xfrm>
          <a:off x="4248381" y="2427321"/>
          <a:ext cx="2467288" cy="1557939"/>
        </a:xfrm>
        <a:prstGeom prst="rect">
          <a:avLst/>
        </a:prstGeom>
      </xdr:spPr>
    </xdr:pic>
    <xdr:clientData/>
  </xdr:twoCellAnchor>
  <xdr:twoCellAnchor>
    <xdr:from>
      <xdr:col>10</xdr:col>
      <xdr:colOff>220980</xdr:colOff>
      <xdr:row>20</xdr:row>
      <xdr:rowOff>26670</xdr:rowOff>
    </xdr:from>
    <xdr:to>
      <xdr:col>16</xdr:col>
      <xdr:colOff>38100</xdr:colOff>
      <xdr:row>35</xdr:row>
      <xdr:rowOff>26670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DF6BC832-33DB-3EF8-4160-815679C1A4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99060</xdr:colOff>
      <xdr:row>1</xdr:row>
      <xdr:rowOff>38100</xdr:rowOff>
    </xdr:from>
    <xdr:to>
      <xdr:col>8</xdr:col>
      <xdr:colOff>319160</xdr:colOff>
      <xdr:row>10</xdr:row>
      <xdr:rowOff>87234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569E49D0-8024-4FFA-A5EB-B41C509751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" y="220980"/>
          <a:ext cx="6141720" cy="1695054"/>
        </a:xfrm>
        <a:prstGeom prst="rect">
          <a:avLst/>
        </a:prstGeom>
      </xdr:spPr>
    </xdr:pic>
    <xdr:clientData/>
  </xdr:twoCellAnchor>
  <xdr:twoCellAnchor editAs="oneCell">
    <xdr:from>
      <xdr:col>2</xdr:col>
      <xdr:colOff>102577</xdr:colOff>
      <xdr:row>13</xdr:row>
      <xdr:rowOff>73270</xdr:rowOff>
    </xdr:from>
    <xdr:to>
      <xdr:col>5</xdr:col>
      <xdr:colOff>80595</xdr:colOff>
      <xdr:row>15</xdr:row>
      <xdr:rowOff>161212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56204E38-7A34-3CD9-1110-7D2BD49B88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85192" y="2454520"/>
          <a:ext cx="2725615" cy="454288"/>
        </a:xfrm>
        <a:prstGeom prst="rect">
          <a:avLst/>
        </a:prstGeom>
      </xdr:spPr>
    </xdr:pic>
    <xdr:clientData/>
  </xdr:twoCellAnchor>
  <xdr:twoCellAnchor editAs="oneCell">
    <xdr:from>
      <xdr:col>5</xdr:col>
      <xdr:colOff>51289</xdr:colOff>
      <xdr:row>13</xdr:row>
      <xdr:rowOff>21982</xdr:rowOff>
    </xdr:from>
    <xdr:to>
      <xdr:col>6</xdr:col>
      <xdr:colOff>351693</xdr:colOff>
      <xdr:row>15</xdr:row>
      <xdr:rowOff>131353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31E2EC57-9D84-18E8-C161-A654EE9C94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35272" r="33928" b="71433"/>
        <a:stretch>
          <a:fillRect/>
        </a:stretch>
      </xdr:blipFill>
      <xdr:spPr>
        <a:xfrm>
          <a:off x="4813789" y="2403232"/>
          <a:ext cx="1091711" cy="475717"/>
        </a:xfrm>
        <a:prstGeom prst="rect">
          <a:avLst/>
        </a:prstGeom>
      </xdr:spPr>
    </xdr:pic>
    <xdr:clientData/>
  </xdr:twoCellAnchor>
  <xdr:twoCellAnchor editAs="oneCell">
    <xdr:from>
      <xdr:col>3</xdr:col>
      <xdr:colOff>608136</xdr:colOff>
      <xdr:row>16</xdr:row>
      <xdr:rowOff>36635</xdr:rowOff>
    </xdr:from>
    <xdr:to>
      <xdr:col>6</xdr:col>
      <xdr:colOff>681405</xdr:colOff>
      <xdr:row>18</xdr:row>
      <xdr:rowOff>115071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C23C569E-F872-720D-2E4B-3901025613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7261" t="57574" r="3437" b="9829"/>
        <a:stretch>
          <a:fillRect/>
        </a:stretch>
      </xdr:blipFill>
      <xdr:spPr>
        <a:xfrm>
          <a:off x="2982059" y="2967404"/>
          <a:ext cx="2593730" cy="444782"/>
        </a:xfrm>
        <a:prstGeom prst="rect">
          <a:avLst/>
        </a:prstGeom>
      </xdr:spPr>
    </xdr:pic>
    <xdr:clientData/>
  </xdr:twoCellAnchor>
  <xdr:twoCellAnchor>
    <xdr:from>
      <xdr:col>8</xdr:col>
      <xdr:colOff>267433</xdr:colOff>
      <xdr:row>19</xdr:row>
      <xdr:rowOff>101112</xdr:rowOff>
    </xdr:from>
    <xdr:to>
      <xdr:col>14</xdr:col>
      <xdr:colOff>91587</xdr:colOff>
      <xdr:row>34</xdr:row>
      <xdr:rowOff>96715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6F59F52E-9FAF-9154-86B7-579625D165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5</xdr:col>
      <xdr:colOff>21981</xdr:colOff>
      <xdr:row>24</xdr:row>
      <xdr:rowOff>87923</xdr:rowOff>
    </xdr:from>
    <xdr:to>
      <xdr:col>6</xdr:col>
      <xdr:colOff>735834</xdr:colOff>
      <xdr:row>28</xdr:row>
      <xdr:rowOff>164969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191DFE98-1579-91DD-EFD6-05E87DCC59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352193" y="4484077"/>
          <a:ext cx="1505160" cy="80973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601980</xdr:colOff>
      <xdr:row>1</xdr:row>
      <xdr:rowOff>15240</xdr:rowOff>
    </xdr:from>
    <xdr:to>
      <xdr:col>8</xdr:col>
      <xdr:colOff>403860</xdr:colOff>
      <xdr:row>10</xdr:row>
      <xdr:rowOff>64374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BE9E8F8-DFB2-421E-829F-931B49C461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80" y="198120"/>
          <a:ext cx="6141720" cy="169505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ocuments\Desafio%20crecimiento%20de%20un%20organismo.xlsx" TargetMode="External"/><Relationship Id="rId1" Type="http://schemas.openxmlformats.org/officeDocument/2006/relationships/externalLinkPath" Target="Desafio%20crecimiento%20de%20un%20organism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uler"/>
      <sheetName val="Heun"/>
      <sheetName val="Exacto"/>
      <sheetName val="Conclusion"/>
    </sheetNames>
    <sheetDataSet>
      <sheetData sheetId="0">
        <row r="19">
          <cell r="E19" t="str">
            <v>m</v>
          </cell>
        </row>
        <row r="20">
          <cell r="D20">
            <v>0</v>
          </cell>
          <cell r="E20">
            <v>1</v>
          </cell>
        </row>
        <row r="21">
          <cell r="D21">
            <v>20</v>
          </cell>
          <cell r="E21">
            <v>5.5583131515191475</v>
          </cell>
        </row>
        <row r="22">
          <cell r="D22">
            <v>40</v>
          </cell>
          <cell r="E22">
            <v>19.264900550537401</v>
          </cell>
        </row>
        <row r="23">
          <cell r="D23">
            <v>60</v>
          </cell>
          <cell r="E23">
            <v>46.663912469412324</v>
          </cell>
        </row>
        <row r="24">
          <cell r="D24">
            <v>80</v>
          </cell>
          <cell r="E24">
            <v>86.513245246540805</v>
          </cell>
        </row>
        <row r="25">
          <cell r="D25">
            <v>100</v>
          </cell>
          <cell r="E25">
            <v>131.98966668863952</v>
          </cell>
        </row>
        <row r="26">
          <cell r="D26">
            <v>120</v>
          </cell>
          <cell r="E26">
            <v>175.34674295854921</v>
          </cell>
        </row>
        <row r="27">
          <cell r="D27">
            <v>140</v>
          </cell>
          <cell r="E27">
            <v>211.66924823473727</v>
          </cell>
        </row>
        <row r="28">
          <cell r="D28">
            <v>160</v>
          </cell>
          <cell r="E28">
            <v>239.47040350011628</v>
          </cell>
        </row>
        <row r="29">
          <cell r="D29">
            <v>180</v>
          </cell>
          <cell r="E29">
            <v>259.47899669775842</v>
          </cell>
        </row>
        <row r="30">
          <cell r="D30">
            <v>200</v>
          </cell>
          <cell r="E30">
            <v>273.29879974247513</v>
          </cell>
        </row>
        <row r="31">
          <cell r="D31">
            <v>220</v>
          </cell>
          <cell r="E31">
            <v>282.58874179305553</v>
          </cell>
        </row>
        <row r="32">
          <cell r="D32">
            <v>240</v>
          </cell>
          <cell r="E32">
            <v>288.7241442823842</v>
          </cell>
        </row>
        <row r="33">
          <cell r="D33">
            <v>260</v>
          </cell>
          <cell r="E33">
            <v>292.73000873297093</v>
          </cell>
        </row>
        <row r="34">
          <cell r="D34">
            <v>280</v>
          </cell>
          <cell r="E34">
            <v>295.32621606314302</v>
          </cell>
        </row>
        <row r="35">
          <cell r="D35">
            <v>300</v>
          </cell>
          <cell r="E35">
            <v>297.00084339152579</v>
          </cell>
        </row>
        <row r="36">
          <cell r="D36">
            <v>320</v>
          </cell>
          <cell r="E36">
            <v>298.07773511044121</v>
          </cell>
        </row>
        <row r="37">
          <cell r="D37">
            <v>340</v>
          </cell>
          <cell r="E37">
            <v>298.7688919085702</v>
          </cell>
        </row>
        <row r="38">
          <cell r="D38">
            <v>360</v>
          </cell>
          <cell r="E38">
            <v>299.21192599327429</v>
          </cell>
        </row>
        <row r="39">
          <cell r="D39">
            <v>380</v>
          </cell>
          <cell r="E39">
            <v>299.49568486466904</v>
          </cell>
        </row>
        <row r="40">
          <cell r="D40">
            <v>400</v>
          </cell>
          <cell r="E40">
            <v>299.67733632459846</v>
          </cell>
        </row>
      </sheetData>
      <sheetData sheetId="1">
        <row r="46">
          <cell r="D46">
            <v>299.12878127811155</v>
          </cell>
        </row>
      </sheetData>
      <sheetData sheetId="2">
        <row r="24">
          <cell r="E24" t="str">
            <v>m_exacta(t)</v>
          </cell>
        </row>
        <row r="25">
          <cell r="D25">
            <v>0</v>
          </cell>
          <cell r="E25">
            <v>1</v>
          </cell>
        </row>
        <row r="26">
          <cell r="D26">
            <v>20</v>
          </cell>
          <cell r="E26">
            <v>14.66218192543435</v>
          </cell>
        </row>
        <row r="27">
          <cell r="D27">
            <v>40</v>
          </cell>
          <cell r="E27">
            <v>47.414171381012579</v>
          </cell>
        </row>
        <row r="28">
          <cell r="D28">
            <v>60</v>
          </cell>
          <cell r="E28">
            <v>91.097640206791112</v>
          </cell>
        </row>
        <row r="29">
          <cell r="D29">
            <v>80</v>
          </cell>
          <cell r="E29">
            <v>135.83836700992958</v>
          </cell>
        </row>
        <row r="30">
          <cell r="D30">
            <v>100</v>
          </cell>
          <cell r="E30">
            <v>175.60046114433572</v>
          </cell>
        </row>
        <row r="31">
          <cell r="D31">
            <v>120</v>
          </cell>
          <cell r="E31">
            <v>208.09226689289258</v>
          </cell>
        </row>
        <row r="32">
          <cell r="D32">
            <v>140</v>
          </cell>
          <cell r="E32">
            <v>233.2827329567624</v>
          </cell>
        </row>
        <row r="33">
          <cell r="D33">
            <v>160</v>
          </cell>
          <cell r="E33">
            <v>252.15694606615767</v>
          </cell>
        </row>
        <row r="34">
          <cell r="D34">
            <v>180</v>
          </cell>
          <cell r="E34">
            <v>265.98141977142052</v>
          </cell>
        </row>
        <row r="35">
          <cell r="D35">
            <v>200</v>
          </cell>
          <cell r="E35">
            <v>275.953388230754</v>
          </cell>
        </row>
        <row r="36">
          <cell r="D36">
            <v>220</v>
          </cell>
          <cell r="E36">
            <v>283.07177753248936</v>
          </cell>
        </row>
        <row r="37">
          <cell r="D37">
            <v>240</v>
          </cell>
          <cell r="E37">
            <v>288.11690033091929</v>
          </cell>
        </row>
        <row r="38">
          <cell r="D38">
            <v>260</v>
          </cell>
          <cell r="E38">
            <v>291.67498123996745</v>
          </cell>
        </row>
        <row r="39">
          <cell r="D39">
            <v>280</v>
          </cell>
          <cell r="E39">
            <v>294.1757563830904</v>
          </cell>
        </row>
        <row r="40">
          <cell r="D40">
            <v>300</v>
          </cell>
          <cell r="E40">
            <v>295.92924564874346</v>
          </cell>
        </row>
        <row r="41">
          <cell r="D41">
            <v>320</v>
          </cell>
          <cell r="E41">
            <v>297.15672911573921</v>
          </cell>
        </row>
        <row r="42">
          <cell r="D42">
            <v>340</v>
          </cell>
          <cell r="E42">
            <v>298.01501147462045</v>
          </cell>
        </row>
        <row r="43">
          <cell r="D43">
            <v>360</v>
          </cell>
          <cell r="E43">
            <v>298.6146617495499</v>
          </cell>
        </row>
        <row r="44">
          <cell r="D44">
            <v>380</v>
          </cell>
          <cell r="E44">
            <v>299.03338243464492</v>
          </cell>
        </row>
        <row r="45">
          <cell r="D45">
            <v>400</v>
          </cell>
          <cell r="E45">
            <v>299.32565129174293</v>
          </cell>
        </row>
      </sheetData>
      <sheetData sheetId="3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436B6-7174-4D51-A178-1C1236A223BC}">
  <dimension ref="B13:I40"/>
  <sheetViews>
    <sheetView topLeftCell="A8" workbookViewId="0">
      <selection activeCell="G20" sqref="G20:G30"/>
    </sheetView>
  </sheetViews>
  <sheetFormatPr baseColWidth="10" defaultRowHeight="14.4" x14ac:dyDescent="0.3"/>
  <sheetData>
    <row r="13" spans="2:9" x14ac:dyDescent="0.3">
      <c r="B13" s="1" t="s">
        <v>0</v>
      </c>
      <c r="C13" s="1"/>
      <c r="D13" s="1"/>
      <c r="E13" s="1"/>
      <c r="F13" s="2" t="s">
        <v>1</v>
      </c>
      <c r="G13" s="2"/>
      <c r="H13" s="2"/>
      <c r="I13" s="2"/>
    </row>
    <row r="14" spans="2:9" x14ac:dyDescent="0.3">
      <c r="B14" s="3"/>
      <c r="C14" s="3"/>
      <c r="D14" s="3"/>
      <c r="E14" s="3"/>
      <c r="F14" s="3"/>
      <c r="G14" s="3"/>
      <c r="H14" s="3"/>
      <c r="I14" s="3"/>
    </row>
    <row r="15" spans="2:9" x14ac:dyDescent="0.3">
      <c r="B15" s="3"/>
      <c r="C15" s="3"/>
      <c r="D15" s="3"/>
      <c r="E15" s="3"/>
      <c r="F15" s="3"/>
      <c r="G15" s="3"/>
      <c r="H15" s="3"/>
      <c r="I15" s="3"/>
    </row>
    <row r="16" spans="2:9" x14ac:dyDescent="0.3">
      <c r="B16" s="3"/>
      <c r="C16" s="3"/>
      <c r="D16" s="3"/>
      <c r="E16" s="3"/>
      <c r="F16" s="3"/>
      <c r="G16" s="3"/>
      <c r="H16" s="3"/>
      <c r="I16" s="3"/>
    </row>
    <row r="19" spans="3:7" x14ac:dyDescent="0.3">
      <c r="C19" s="4" t="s">
        <v>2</v>
      </c>
      <c r="D19" s="4" t="s">
        <v>3</v>
      </c>
      <c r="E19" s="4" t="s">
        <v>5</v>
      </c>
      <c r="F19" s="4" t="s">
        <v>4</v>
      </c>
      <c r="G19" s="4" t="s">
        <v>6</v>
      </c>
    </row>
    <row r="20" spans="3:7" x14ac:dyDescent="0.3">
      <c r="C20">
        <v>0</v>
      </c>
      <c r="D20">
        <v>0</v>
      </c>
      <c r="E20">
        <v>0.5</v>
      </c>
      <c r="F20">
        <v>1</v>
      </c>
      <c r="G20">
        <f>5*E20^(2/3)-2*E20</f>
        <v>2.1498026247371831</v>
      </c>
    </row>
    <row r="21" spans="3:7" x14ac:dyDescent="0.3">
      <c r="C21">
        <v>1</v>
      </c>
      <c r="D21">
        <f>D20+$F$20</f>
        <v>1</v>
      </c>
      <c r="E21">
        <f>E20+($F$20*G20)</f>
        <v>2.6498026247371831</v>
      </c>
      <c r="G21">
        <f t="shared" ref="G21:G30" si="0">5*E21^(2/3)-2*E21</f>
        <v>4.2748121106347146</v>
      </c>
    </row>
    <row r="22" spans="3:7" x14ac:dyDescent="0.3">
      <c r="C22">
        <v>2</v>
      </c>
      <c r="D22">
        <f t="shared" ref="D22:D40" si="1">D21+$F$20</f>
        <v>2</v>
      </c>
      <c r="E22">
        <f t="shared" ref="E22:E40" si="2">E21+($F$20*G21)</f>
        <v>6.9246147353718976</v>
      </c>
      <c r="G22">
        <f t="shared" si="0"/>
        <v>4.3157013423648305</v>
      </c>
    </row>
    <row r="23" spans="3:7" x14ac:dyDescent="0.3">
      <c r="C23">
        <v>3</v>
      </c>
      <c r="D23">
        <f t="shared" si="1"/>
        <v>3</v>
      </c>
      <c r="E23">
        <f t="shared" si="2"/>
        <v>11.240316077736729</v>
      </c>
      <c r="G23">
        <f t="shared" si="0"/>
        <v>2.6086953235985391</v>
      </c>
    </row>
    <row r="24" spans="3:7" x14ac:dyDescent="0.3">
      <c r="C24">
        <v>4</v>
      </c>
      <c r="D24">
        <f t="shared" si="1"/>
        <v>4</v>
      </c>
      <c r="E24">
        <f t="shared" si="2"/>
        <v>13.849011401335268</v>
      </c>
      <c r="G24">
        <f t="shared" si="0"/>
        <v>1.136704788044284</v>
      </c>
    </row>
    <row r="25" spans="3:7" x14ac:dyDescent="0.3">
      <c r="C25">
        <v>5</v>
      </c>
      <c r="D25">
        <f t="shared" si="1"/>
        <v>5</v>
      </c>
      <c r="E25">
        <f t="shared" si="2"/>
        <v>14.985716189379552</v>
      </c>
      <c r="G25">
        <f t="shared" si="0"/>
        <v>0.42026852900464817</v>
      </c>
    </row>
    <row r="26" spans="3:7" x14ac:dyDescent="0.3">
      <c r="C26">
        <v>6</v>
      </c>
      <c r="D26">
        <f t="shared" si="1"/>
        <v>6</v>
      </c>
      <c r="E26">
        <f t="shared" si="2"/>
        <v>15.4059847183842</v>
      </c>
      <c r="G26">
        <f t="shared" si="0"/>
        <v>0.14532369547527324</v>
      </c>
    </row>
    <row r="27" spans="3:7" x14ac:dyDescent="0.3">
      <c r="C27">
        <v>7</v>
      </c>
      <c r="D27">
        <f t="shared" si="1"/>
        <v>7</v>
      </c>
      <c r="E27">
        <f t="shared" si="2"/>
        <v>15.551308413859473</v>
      </c>
      <c r="G27">
        <f t="shared" si="0"/>
        <v>4.9050328692622713E-2</v>
      </c>
    </row>
    <row r="28" spans="3:7" x14ac:dyDescent="0.3">
      <c r="C28">
        <v>8</v>
      </c>
      <c r="D28">
        <f t="shared" si="1"/>
        <v>8</v>
      </c>
      <c r="E28">
        <f t="shared" si="2"/>
        <v>15.600358742552096</v>
      </c>
      <c r="G28">
        <f t="shared" si="0"/>
        <v>1.6418863293516495E-2</v>
      </c>
    </row>
    <row r="29" spans="3:7" x14ac:dyDescent="0.3">
      <c r="C29">
        <v>9</v>
      </c>
      <c r="D29">
        <f t="shared" si="1"/>
        <v>9</v>
      </c>
      <c r="E29">
        <f t="shared" si="2"/>
        <v>15.616777605845613</v>
      </c>
      <c r="G29">
        <f t="shared" si="0"/>
        <v>5.4806343452966644E-3</v>
      </c>
    </row>
    <row r="30" spans="3:7" x14ac:dyDescent="0.3">
      <c r="C30">
        <v>10</v>
      </c>
      <c r="D30">
        <f t="shared" si="1"/>
        <v>10</v>
      </c>
      <c r="E30" s="5">
        <f>E29+($F$20*G29)</f>
        <v>15.622258240190909</v>
      </c>
      <c r="G30">
        <f t="shared" si="0"/>
        <v>1.8277329524352126E-3</v>
      </c>
    </row>
    <row r="40" spans="5:5" x14ac:dyDescent="0.3">
      <c r="E40" s="6"/>
    </row>
  </sheetData>
  <mergeCells count="4">
    <mergeCell ref="B13:E13"/>
    <mergeCell ref="F13:I13"/>
    <mergeCell ref="B14:E16"/>
    <mergeCell ref="F14:I16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B4E21-3B1F-4F61-98FC-DB0A97624FB6}">
  <dimension ref="B13:J46"/>
  <sheetViews>
    <sheetView topLeftCell="A14" workbookViewId="0">
      <selection activeCell="J22" activeCellId="1" sqref="C25:D36 J22"/>
    </sheetView>
  </sheetViews>
  <sheetFormatPr baseColWidth="10" defaultRowHeight="14.4" x14ac:dyDescent="0.3"/>
  <sheetData>
    <row r="13" spans="2:9" x14ac:dyDescent="0.3">
      <c r="B13" s="1" t="s">
        <v>0</v>
      </c>
      <c r="C13" s="1"/>
      <c r="D13" s="1"/>
      <c r="E13" s="1"/>
      <c r="F13" s="2" t="s">
        <v>7</v>
      </c>
      <c r="G13" s="2"/>
      <c r="H13" s="2"/>
      <c r="I13" s="2"/>
    </row>
    <row r="14" spans="2:9" x14ac:dyDescent="0.3">
      <c r="B14" s="3"/>
      <c r="C14" s="3"/>
      <c r="D14" s="3"/>
      <c r="E14" s="3"/>
      <c r="F14" s="3"/>
      <c r="G14" s="3"/>
      <c r="H14" s="3"/>
      <c r="I14" s="3"/>
    </row>
    <row r="15" spans="2:9" x14ac:dyDescent="0.3">
      <c r="B15" s="3"/>
      <c r="C15" s="3"/>
      <c r="D15" s="3"/>
      <c r="E15" s="3"/>
      <c r="F15" s="3"/>
      <c r="G15" s="3"/>
      <c r="H15" s="3"/>
      <c r="I15" s="3"/>
    </row>
    <row r="16" spans="2:9" x14ac:dyDescent="0.3">
      <c r="B16" s="3"/>
      <c r="C16" s="3"/>
      <c r="D16" s="3"/>
      <c r="E16" s="3"/>
      <c r="F16" s="3"/>
      <c r="G16" s="3"/>
      <c r="H16" s="3"/>
      <c r="I16" s="3"/>
    </row>
    <row r="17" spans="2:10" x14ac:dyDescent="0.3">
      <c r="B17" s="3"/>
      <c r="C17" s="3"/>
      <c r="D17" s="3"/>
      <c r="E17" s="3"/>
      <c r="F17" s="3"/>
      <c r="G17" s="3"/>
      <c r="H17" s="3"/>
      <c r="I17" s="3"/>
    </row>
    <row r="18" spans="2:10" x14ac:dyDescent="0.3">
      <c r="B18" s="3"/>
      <c r="C18" s="3"/>
      <c r="D18" s="3"/>
      <c r="E18" s="3"/>
      <c r="F18" s="3"/>
      <c r="G18" s="3"/>
      <c r="H18" s="3"/>
      <c r="I18" s="3"/>
    </row>
    <row r="19" spans="2:10" x14ac:dyDescent="0.3">
      <c r="B19" s="3"/>
      <c r="C19" s="3"/>
      <c r="D19" s="3"/>
      <c r="E19" s="3"/>
      <c r="F19" s="3"/>
      <c r="G19" s="3"/>
      <c r="H19" s="3"/>
      <c r="I19" s="3"/>
    </row>
    <row r="20" spans="2:10" x14ac:dyDescent="0.3">
      <c r="B20" s="3"/>
      <c r="C20" s="3"/>
      <c r="D20" s="3"/>
      <c r="E20" s="3"/>
      <c r="F20" s="3"/>
      <c r="G20" s="3"/>
      <c r="H20" s="3"/>
      <c r="I20" s="3"/>
    </row>
    <row r="21" spans="2:10" x14ac:dyDescent="0.3">
      <c r="B21" s="3"/>
      <c r="C21" s="3"/>
      <c r="D21" s="3"/>
      <c r="E21" s="3"/>
      <c r="F21" s="3"/>
      <c r="G21" s="3"/>
      <c r="H21" s="3"/>
      <c r="I21" s="3"/>
    </row>
    <row r="22" spans="2:10" x14ac:dyDescent="0.3">
      <c r="B22" s="3"/>
      <c r="C22" s="3"/>
      <c r="D22" s="3"/>
      <c r="E22" s="3"/>
      <c r="F22" s="3"/>
      <c r="G22" s="3"/>
      <c r="H22" s="3"/>
      <c r="I22" s="3"/>
    </row>
    <row r="24" spans="2:10" x14ac:dyDescent="0.3">
      <c r="B24" s="7"/>
      <c r="C24" s="7"/>
      <c r="D24" s="7"/>
      <c r="E24" s="7"/>
      <c r="F24" s="7" t="s">
        <v>8</v>
      </c>
      <c r="G24" s="7" t="s">
        <v>9</v>
      </c>
      <c r="H24" s="7"/>
      <c r="I24" s="7" t="s">
        <v>10</v>
      </c>
      <c r="J24" s="7" t="s">
        <v>11</v>
      </c>
    </row>
    <row r="25" spans="2:10" x14ac:dyDescent="0.3">
      <c r="B25" s="8" t="s">
        <v>2</v>
      </c>
      <c r="C25" s="8" t="s">
        <v>3</v>
      </c>
      <c r="D25" s="8" t="s">
        <v>5</v>
      </c>
      <c r="E25" s="8" t="s">
        <v>4</v>
      </c>
      <c r="F25" s="8" t="s">
        <v>6</v>
      </c>
      <c r="G25" s="8" t="s">
        <v>12</v>
      </c>
      <c r="H25" s="8" t="s">
        <v>13</v>
      </c>
      <c r="I25" s="8" t="s">
        <v>15</v>
      </c>
      <c r="J25" s="8" t="s">
        <v>14</v>
      </c>
    </row>
    <row r="26" spans="2:10" x14ac:dyDescent="0.3">
      <c r="B26">
        <v>0</v>
      </c>
      <c r="C26">
        <v>0</v>
      </c>
      <c r="D26">
        <v>0.5</v>
      </c>
      <c r="E26">
        <v>1</v>
      </c>
      <c r="F26">
        <f>5*D26^(2/3)-2*D26</f>
        <v>2.1498026247371831</v>
      </c>
      <c r="G26">
        <f>C26+$E$26</f>
        <v>1</v>
      </c>
      <c r="H26">
        <f>$E$26*F26</f>
        <v>2.1498026247371831</v>
      </c>
      <c r="I26">
        <f>D26+H26</f>
        <v>2.6498026247371831</v>
      </c>
      <c r="J26">
        <f>5*I26^(2/3)-2*I26</f>
        <v>4.2748121106347146</v>
      </c>
    </row>
    <row r="27" spans="2:10" x14ac:dyDescent="0.3">
      <c r="B27">
        <v>1</v>
      </c>
      <c r="C27">
        <f>C26+$E$26</f>
        <v>1</v>
      </c>
      <c r="D27">
        <f>D26+(($E$26/2)*(F26+J26))</f>
        <v>3.7123073676859488</v>
      </c>
      <c r="F27">
        <f t="shared" ref="F27:F36" si="0">5*D27^(2/3)-2*D27</f>
        <v>4.5629957389597058</v>
      </c>
      <c r="G27">
        <f t="shared" ref="G27:G46" si="1">C27+$E$26</f>
        <v>2</v>
      </c>
      <c r="H27">
        <f t="shared" ref="H27:H46" si="2">$E$26*F27</f>
        <v>4.5629957389597058</v>
      </c>
      <c r="I27">
        <f>D27+H27</f>
        <v>8.275303106645655</v>
      </c>
      <c r="J27">
        <f t="shared" ref="J27:J36" si="3">5*I27^(2/3)-2*I27</f>
        <v>3.9056400983694886</v>
      </c>
    </row>
    <row r="28" spans="2:10" x14ac:dyDescent="0.3">
      <c r="B28">
        <v>2</v>
      </c>
      <c r="C28">
        <f t="shared" ref="C28:C46" si="4">C27+$E$26</f>
        <v>2</v>
      </c>
      <c r="D28">
        <f t="shared" ref="D28:D46" si="5">D27+(($E$26/2)*(F27+J27))</f>
        <v>7.946625286350546</v>
      </c>
      <c r="F28">
        <f t="shared" si="0"/>
        <v>4.0176923579978201</v>
      </c>
      <c r="G28">
        <f t="shared" si="1"/>
        <v>3</v>
      </c>
      <c r="H28">
        <f t="shared" si="2"/>
        <v>4.0176923579978201</v>
      </c>
      <c r="I28">
        <f t="shared" ref="I27:I46" si="6">D28+H28</f>
        <v>11.964317644348366</v>
      </c>
      <c r="J28">
        <f t="shared" si="3"/>
        <v>2.2268005242771807</v>
      </c>
    </row>
    <row r="29" spans="2:10" x14ac:dyDescent="0.3">
      <c r="B29">
        <v>3</v>
      </c>
      <c r="C29">
        <f t="shared" si="4"/>
        <v>3</v>
      </c>
      <c r="D29">
        <f>D28+(($E$26/2)*(F28+J28))</f>
        <v>11.068871727488046</v>
      </c>
      <c r="F29">
        <f t="shared" si="0"/>
        <v>2.6958122778308251</v>
      </c>
      <c r="G29">
        <f t="shared" si="1"/>
        <v>4</v>
      </c>
      <c r="H29">
        <f t="shared" si="2"/>
        <v>2.6958122778308251</v>
      </c>
      <c r="I29">
        <f t="shared" si="6"/>
        <v>13.764684005318871</v>
      </c>
      <c r="J29">
        <f t="shared" si="3"/>
        <v>1.1881896357438464</v>
      </c>
    </row>
    <row r="30" spans="2:10" x14ac:dyDescent="0.3">
      <c r="B30">
        <v>4</v>
      </c>
      <c r="C30">
        <f t="shared" si="4"/>
        <v>4</v>
      </c>
      <c r="D30">
        <f t="shared" si="5"/>
        <v>13.010872684275382</v>
      </c>
      <c r="F30">
        <f t="shared" si="0"/>
        <v>1.6375400451743189</v>
      </c>
      <c r="G30">
        <f t="shared" si="1"/>
        <v>5</v>
      </c>
      <c r="H30">
        <f>$E$26*F30</f>
        <v>1.6375400451743189</v>
      </c>
      <c r="I30">
        <f t="shared" si="6"/>
        <v>14.648412729449701</v>
      </c>
      <c r="J30">
        <f t="shared" si="3"/>
        <v>0.63710299835298301</v>
      </c>
    </row>
    <row r="31" spans="2:10" x14ac:dyDescent="0.3">
      <c r="B31">
        <v>5</v>
      </c>
      <c r="C31">
        <f t="shared" si="4"/>
        <v>5</v>
      </c>
      <c r="D31">
        <f t="shared" si="5"/>
        <v>14.148194206039033</v>
      </c>
      <c r="F31">
        <f t="shared" si="0"/>
        <v>0.95213949454022284</v>
      </c>
      <c r="G31">
        <f t="shared" si="1"/>
        <v>6</v>
      </c>
      <c r="H31">
        <f t="shared" si="2"/>
        <v>0.95213949454022284</v>
      </c>
      <c r="I31">
        <f>D31+H31</f>
        <v>15.100333700579256</v>
      </c>
      <c r="J31">
        <f>5*I31^(2/3)-2*I31</f>
        <v>0.34580291681249875</v>
      </c>
    </row>
    <row r="32" spans="2:10" x14ac:dyDescent="0.3">
      <c r="B32">
        <v>6</v>
      </c>
      <c r="C32">
        <f t="shared" si="4"/>
        <v>6</v>
      </c>
      <c r="D32">
        <f t="shared" si="5"/>
        <v>14.797165411715394</v>
      </c>
      <c r="F32">
        <f t="shared" si="0"/>
        <v>0.54190623245436598</v>
      </c>
      <c r="G32">
        <f t="shared" si="1"/>
        <v>7</v>
      </c>
      <c r="H32">
        <f t="shared" si="2"/>
        <v>0.54190623245436598</v>
      </c>
      <c r="I32">
        <f t="shared" si="6"/>
        <v>15.33907164416976</v>
      </c>
      <c r="J32">
        <f t="shared" si="3"/>
        <v>0.18944660692951132</v>
      </c>
    </row>
    <row r="33" spans="2:10" x14ac:dyDescent="0.3">
      <c r="B33">
        <v>7</v>
      </c>
      <c r="C33">
        <f t="shared" si="4"/>
        <v>7</v>
      </c>
      <c r="D33">
        <f t="shared" si="5"/>
        <v>15.162841831407333</v>
      </c>
      <c r="F33">
        <f t="shared" si="0"/>
        <v>0.30502708248662813</v>
      </c>
      <c r="G33">
        <f t="shared" si="1"/>
        <v>8</v>
      </c>
      <c r="H33">
        <f t="shared" si="2"/>
        <v>0.30502708248662813</v>
      </c>
      <c r="I33">
        <f t="shared" si="6"/>
        <v>15.467868913893961</v>
      </c>
      <c r="J33">
        <f t="shared" si="3"/>
        <v>0.10440132947003633</v>
      </c>
    </row>
    <row r="34" spans="2:10" x14ac:dyDescent="0.3">
      <c r="B34">
        <v>8</v>
      </c>
      <c r="C34">
        <f t="shared" si="4"/>
        <v>8</v>
      </c>
      <c r="D34">
        <f t="shared" si="5"/>
        <v>15.367556037385665</v>
      </c>
      <c r="F34">
        <f t="shared" si="0"/>
        <v>0.17067972689981303</v>
      </c>
      <c r="G34">
        <f t="shared" si="1"/>
        <v>9</v>
      </c>
      <c r="H34">
        <f t="shared" si="2"/>
        <v>0.17067972689981303</v>
      </c>
      <c r="I34">
        <f t="shared" si="6"/>
        <v>15.538235764285478</v>
      </c>
      <c r="J34">
        <f t="shared" si="3"/>
        <v>5.77354933650156E-2</v>
      </c>
    </row>
    <row r="35" spans="2:10" x14ac:dyDescent="0.3">
      <c r="B35">
        <v>9</v>
      </c>
      <c r="C35">
        <f t="shared" si="4"/>
        <v>9</v>
      </c>
      <c r="D35">
        <f t="shared" si="5"/>
        <v>15.481763647518079</v>
      </c>
      <c r="F35">
        <f t="shared" si="0"/>
        <v>9.5197914021134977E-2</v>
      </c>
      <c r="G35">
        <f t="shared" si="1"/>
        <v>10</v>
      </c>
      <c r="H35">
        <f t="shared" si="2"/>
        <v>9.5197914021134977E-2</v>
      </c>
      <c r="I35">
        <f t="shared" si="6"/>
        <v>15.576961561539214</v>
      </c>
      <c r="J35">
        <f t="shared" si="3"/>
        <v>3.1992760210791005E-2</v>
      </c>
    </row>
    <row r="36" spans="2:10" x14ac:dyDescent="0.3">
      <c r="B36">
        <v>10</v>
      </c>
      <c r="C36">
        <f t="shared" si="4"/>
        <v>10</v>
      </c>
      <c r="D36" s="5">
        <f t="shared" si="5"/>
        <v>15.545358984634042</v>
      </c>
      <c r="F36">
        <f t="shared" si="0"/>
        <v>5.3003598118444017E-2</v>
      </c>
      <c r="G36">
        <f t="shared" si="1"/>
        <v>11</v>
      </c>
      <c r="H36">
        <f t="shared" si="2"/>
        <v>5.3003598118444017E-2</v>
      </c>
      <c r="I36">
        <f t="shared" si="6"/>
        <v>15.598362582752486</v>
      </c>
      <c r="J36">
        <f t="shared" si="3"/>
        <v>1.774817910508375E-2</v>
      </c>
    </row>
    <row r="37" spans="2:10" x14ac:dyDescent="0.3">
      <c r="B37" s="11"/>
      <c r="C37" s="11"/>
      <c r="D37" s="11"/>
      <c r="E37" s="11"/>
      <c r="F37" s="11"/>
      <c r="G37" s="11"/>
      <c r="H37" s="11"/>
      <c r="I37" s="11"/>
      <c r="J37" s="11"/>
    </row>
    <row r="38" spans="2:10" x14ac:dyDescent="0.3">
      <c r="B38" s="11"/>
      <c r="C38" s="11"/>
      <c r="D38" s="11"/>
      <c r="E38" s="11"/>
      <c r="F38" s="11"/>
      <c r="G38" s="11"/>
      <c r="H38" s="11"/>
      <c r="I38" s="11"/>
      <c r="J38" s="11"/>
    </row>
    <row r="39" spans="2:10" x14ac:dyDescent="0.3">
      <c r="B39" s="11"/>
      <c r="C39" s="11"/>
      <c r="D39" s="11"/>
      <c r="E39" s="11"/>
      <c r="F39" s="11"/>
      <c r="G39" s="11"/>
      <c r="H39" s="11"/>
      <c r="I39" s="11"/>
      <c r="J39" s="11"/>
    </row>
    <row r="40" spans="2:10" x14ac:dyDescent="0.3">
      <c r="B40" s="11"/>
      <c r="C40" s="11"/>
      <c r="D40" s="11"/>
      <c r="E40" s="11"/>
      <c r="F40" s="11"/>
      <c r="G40" s="11"/>
      <c r="H40" s="11"/>
      <c r="I40" s="11"/>
      <c r="J40" s="11"/>
    </row>
    <row r="41" spans="2:10" x14ac:dyDescent="0.3">
      <c r="B41" s="11"/>
      <c r="C41" s="11"/>
      <c r="D41" s="11"/>
      <c r="E41" s="11"/>
      <c r="F41" s="11"/>
      <c r="G41" s="11"/>
      <c r="H41" s="11"/>
      <c r="I41" s="11"/>
      <c r="J41" s="11"/>
    </row>
    <row r="42" spans="2:10" x14ac:dyDescent="0.3">
      <c r="B42" s="11"/>
      <c r="C42" s="11"/>
      <c r="D42" s="11"/>
      <c r="E42" s="11"/>
      <c r="F42" s="11"/>
      <c r="G42" s="11"/>
      <c r="H42" s="11"/>
      <c r="I42" s="11"/>
      <c r="J42" s="11"/>
    </row>
    <row r="43" spans="2:10" x14ac:dyDescent="0.3">
      <c r="B43" s="11"/>
      <c r="C43" s="11"/>
      <c r="D43" s="11"/>
      <c r="E43" s="11"/>
      <c r="F43" s="11"/>
      <c r="G43" s="11"/>
      <c r="H43" s="11"/>
      <c r="I43" s="11"/>
      <c r="J43" s="11"/>
    </row>
    <row r="44" spans="2:10" x14ac:dyDescent="0.3">
      <c r="B44" s="11"/>
      <c r="C44" s="11"/>
      <c r="D44" s="11"/>
      <c r="E44" s="11"/>
      <c r="F44" s="11"/>
      <c r="G44" s="11"/>
      <c r="H44" s="11"/>
      <c r="I44" s="11"/>
      <c r="J44" s="11"/>
    </row>
    <row r="45" spans="2:10" x14ac:dyDescent="0.3">
      <c r="B45" s="11"/>
      <c r="C45" s="11"/>
      <c r="D45" s="11"/>
      <c r="E45" s="11"/>
      <c r="F45" s="11"/>
      <c r="G45" s="11"/>
      <c r="H45" s="11"/>
      <c r="I45" s="11"/>
      <c r="J45" s="11"/>
    </row>
    <row r="46" spans="2:10" x14ac:dyDescent="0.3">
      <c r="B46" s="11"/>
      <c r="C46" s="11"/>
      <c r="D46" s="12"/>
      <c r="E46" s="11"/>
      <c r="F46" s="11"/>
      <c r="G46" s="11"/>
      <c r="H46" s="11"/>
      <c r="I46" s="11"/>
      <c r="J46" s="11"/>
    </row>
  </sheetData>
  <mergeCells count="4">
    <mergeCell ref="B13:E13"/>
    <mergeCell ref="F13:I13"/>
    <mergeCell ref="B14:E22"/>
    <mergeCell ref="F14:I2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75BCE-0CB7-48D9-A614-2407CB7ADCE8}">
  <dimension ref="B13:I49"/>
  <sheetViews>
    <sheetView topLeftCell="A17" zoomScale="104" workbookViewId="0">
      <selection activeCell="G32" sqref="G32"/>
    </sheetView>
  </sheetViews>
  <sheetFormatPr baseColWidth="10" defaultRowHeight="14.4" x14ac:dyDescent="0.3"/>
  <cols>
    <col min="3" max="3" width="14.88671875" customWidth="1"/>
    <col min="4" max="4" width="12.33203125" customWidth="1"/>
    <col min="5" max="5" width="12.88671875" customWidth="1"/>
  </cols>
  <sheetData>
    <row r="13" spans="2:9" x14ac:dyDescent="0.3">
      <c r="B13" s="1" t="s">
        <v>16</v>
      </c>
      <c r="C13" s="1"/>
      <c r="D13" s="1"/>
      <c r="E13" s="1"/>
      <c r="F13" s="1"/>
      <c r="G13" s="1"/>
      <c r="H13" s="1"/>
      <c r="I13" s="1"/>
    </row>
    <row r="14" spans="2:9" x14ac:dyDescent="0.3">
      <c r="B14" s="3"/>
      <c r="C14" s="3"/>
      <c r="D14" s="3"/>
      <c r="E14" s="3"/>
      <c r="F14" s="3"/>
      <c r="G14" s="3"/>
      <c r="H14" s="3"/>
      <c r="I14" s="3"/>
    </row>
    <row r="15" spans="2:9" x14ac:dyDescent="0.3">
      <c r="B15" s="3"/>
      <c r="C15" s="3"/>
      <c r="D15" s="3"/>
      <c r="E15" s="3"/>
      <c r="F15" s="3"/>
      <c r="G15" s="3"/>
      <c r="H15" s="3"/>
      <c r="I15" s="3"/>
    </row>
    <row r="16" spans="2:9" x14ac:dyDescent="0.3">
      <c r="B16" s="3"/>
      <c r="C16" s="3"/>
      <c r="D16" s="3"/>
      <c r="E16" s="3"/>
      <c r="F16" s="3"/>
      <c r="G16" s="3"/>
      <c r="H16" s="3"/>
      <c r="I16" s="3"/>
    </row>
    <row r="17" spans="2:9" x14ac:dyDescent="0.3">
      <c r="B17" s="3"/>
      <c r="C17" s="3"/>
      <c r="D17" s="3"/>
      <c r="E17" s="3"/>
      <c r="F17" s="3"/>
      <c r="G17" s="3"/>
      <c r="H17" s="3"/>
      <c r="I17" s="3"/>
    </row>
    <row r="18" spans="2:9" x14ac:dyDescent="0.3">
      <c r="B18" s="3"/>
      <c r="C18" s="3"/>
      <c r="D18" s="3"/>
      <c r="E18" s="3"/>
      <c r="F18" s="3"/>
      <c r="G18" s="3"/>
      <c r="H18" s="3"/>
      <c r="I18" s="3"/>
    </row>
    <row r="19" spans="2:9" x14ac:dyDescent="0.3">
      <c r="B19" s="3"/>
      <c r="C19" s="3"/>
      <c r="D19" s="3"/>
      <c r="E19" s="3"/>
      <c r="F19" s="3"/>
      <c r="G19" s="3"/>
      <c r="H19" s="3"/>
      <c r="I19" s="3"/>
    </row>
    <row r="20" spans="2:9" x14ac:dyDescent="0.3">
      <c r="B20" s="10"/>
      <c r="C20" s="10"/>
      <c r="D20" s="10"/>
      <c r="E20" s="10"/>
      <c r="F20" s="10"/>
      <c r="G20" s="10"/>
      <c r="H20" s="10"/>
      <c r="I20" s="10"/>
    </row>
    <row r="21" spans="2:9" x14ac:dyDescent="0.3">
      <c r="B21" s="10"/>
      <c r="C21" s="10"/>
      <c r="D21" s="10"/>
      <c r="E21" s="10"/>
      <c r="F21" s="10"/>
      <c r="G21" s="10"/>
      <c r="H21" s="10"/>
      <c r="I21" s="10"/>
    </row>
    <row r="22" spans="2:9" x14ac:dyDescent="0.3">
      <c r="B22" s="10"/>
      <c r="C22" s="10"/>
      <c r="D22" s="10"/>
      <c r="E22" s="10"/>
      <c r="F22" s="10"/>
      <c r="G22" s="10"/>
      <c r="H22" s="10"/>
      <c r="I22" s="10"/>
    </row>
    <row r="24" spans="2:9" x14ac:dyDescent="0.3">
      <c r="B24" s="8" t="s">
        <v>17</v>
      </c>
      <c r="C24" s="8" t="s">
        <v>28</v>
      </c>
      <c r="D24" s="8" t="s">
        <v>4</v>
      </c>
      <c r="F24" s="19" t="s">
        <v>29</v>
      </c>
      <c r="G24" s="19"/>
    </row>
    <row r="25" spans="2:9" x14ac:dyDescent="0.3">
      <c r="B25">
        <v>0</v>
      </c>
      <c r="C25">
        <v>0.5</v>
      </c>
      <c r="D25">
        <v>1</v>
      </c>
    </row>
    <row r="26" spans="2:9" x14ac:dyDescent="0.3">
      <c r="B26">
        <f>B25+$D$25</f>
        <v>1</v>
      </c>
      <c r="C26">
        <f>(2.5+(0.5^(1/3)-2.5)*EXP(-2/3*B26))^3</f>
        <v>4.2827555620548496</v>
      </c>
    </row>
    <row r="27" spans="2:9" x14ac:dyDescent="0.3">
      <c r="B27">
        <f>B26+$D$25</f>
        <v>2</v>
      </c>
      <c r="C27">
        <f t="shared" ref="C27:C35" si="0">(2.5+(0.5^(1/3)-2.5)*EXP(-2/3*B27))^3</f>
        <v>8.6179536998015553</v>
      </c>
    </row>
    <row r="28" spans="2:9" x14ac:dyDescent="0.3">
      <c r="B28">
        <f>B27+$D$25</f>
        <v>3</v>
      </c>
      <c r="C28">
        <f t="shared" si="0"/>
        <v>11.682827794697335</v>
      </c>
    </row>
    <row r="29" spans="2:9" x14ac:dyDescent="0.3">
      <c r="B29">
        <f>B28+$D$25</f>
        <v>4</v>
      </c>
      <c r="C29">
        <f t="shared" si="0"/>
        <v>13.505764225663038</v>
      </c>
    </row>
    <row r="30" spans="2:9" x14ac:dyDescent="0.3">
      <c r="B30">
        <f>B29+$D$25</f>
        <v>5</v>
      </c>
      <c r="C30">
        <f t="shared" si="0"/>
        <v>14.511241432742152</v>
      </c>
      <c r="F30" t="s">
        <v>31</v>
      </c>
      <c r="G30">
        <v>5</v>
      </c>
    </row>
    <row r="31" spans="2:9" x14ac:dyDescent="0.3">
      <c r="B31">
        <f>B30+$D$25</f>
        <v>6</v>
      </c>
      <c r="C31">
        <f t="shared" si="0"/>
        <v>15.046320272748767</v>
      </c>
      <c r="F31" t="s">
        <v>32</v>
      </c>
      <c r="G31">
        <v>2</v>
      </c>
    </row>
    <row r="32" spans="2:9" x14ac:dyDescent="0.3">
      <c r="B32">
        <f>B31+$D$25</f>
        <v>7</v>
      </c>
      <c r="C32">
        <f t="shared" si="0"/>
        <v>15.326077495607297</v>
      </c>
      <c r="F32" t="s">
        <v>30</v>
      </c>
      <c r="G32" s="5">
        <f>(G30/G31)^3</f>
        <v>15.625</v>
      </c>
    </row>
    <row r="33" spans="2:6" x14ac:dyDescent="0.3">
      <c r="B33">
        <f>B32+$D$25</f>
        <v>8</v>
      </c>
      <c r="C33">
        <f t="shared" si="0"/>
        <v>15.471047256912549</v>
      </c>
    </row>
    <row r="34" spans="2:6" x14ac:dyDescent="0.3">
      <c r="B34">
        <f>B33+$D$25</f>
        <v>9</v>
      </c>
      <c r="C34">
        <f t="shared" si="0"/>
        <v>15.545831085170796</v>
      </c>
    </row>
    <row r="35" spans="2:6" x14ac:dyDescent="0.3">
      <c r="B35">
        <f>B34+$D$25</f>
        <v>10</v>
      </c>
      <c r="C35" s="5">
        <f t="shared" si="0"/>
        <v>15.584319835435055</v>
      </c>
    </row>
    <row r="36" spans="2:6" x14ac:dyDescent="0.3">
      <c r="D36" s="11"/>
      <c r="E36" s="11"/>
      <c r="F36" s="11"/>
    </row>
    <row r="37" spans="2:6" x14ac:dyDescent="0.3">
      <c r="D37" s="11"/>
      <c r="E37" s="11"/>
      <c r="F37" s="11"/>
    </row>
    <row r="38" spans="2:6" x14ac:dyDescent="0.3">
      <c r="D38" s="11"/>
      <c r="E38" s="11"/>
      <c r="F38" s="11"/>
    </row>
    <row r="39" spans="2:6" x14ac:dyDescent="0.3">
      <c r="D39" s="11"/>
      <c r="E39" s="11"/>
      <c r="F39" s="11"/>
    </row>
    <row r="40" spans="2:6" x14ac:dyDescent="0.3">
      <c r="D40" s="11"/>
      <c r="E40" s="11"/>
      <c r="F40" s="11"/>
    </row>
    <row r="41" spans="2:6" x14ac:dyDescent="0.3">
      <c r="D41" s="11"/>
      <c r="E41" s="11"/>
      <c r="F41" s="11"/>
    </row>
    <row r="42" spans="2:6" x14ac:dyDescent="0.3">
      <c r="D42" s="11"/>
      <c r="E42" s="11"/>
      <c r="F42" s="11"/>
    </row>
    <row r="43" spans="2:6" x14ac:dyDescent="0.3">
      <c r="D43" s="11"/>
      <c r="E43" s="11"/>
      <c r="F43" s="11"/>
    </row>
    <row r="44" spans="2:6" x14ac:dyDescent="0.3">
      <c r="D44" s="11"/>
      <c r="E44" s="11"/>
      <c r="F44" s="11"/>
    </row>
    <row r="45" spans="2:6" x14ac:dyDescent="0.3">
      <c r="D45" s="11"/>
      <c r="E45" s="12"/>
      <c r="F45" s="11"/>
    </row>
    <row r="46" spans="2:6" x14ac:dyDescent="0.3">
      <c r="D46" s="11"/>
      <c r="E46" s="11"/>
      <c r="F46" s="11"/>
    </row>
    <row r="47" spans="2:6" x14ac:dyDescent="0.3">
      <c r="D47" s="11"/>
      <c r="E47" s="11"/>
      <c r="F47" s="11"/>
    </row>
    <row r="48" spans="2:6" x14ac:dyDescent="0.3">
      <c r="D48" s="11"/>
      <c r="E48" s="11"/>
      <c r="F48" s="11"/>
    </row>
    <row r="49" spans="4:6" x14ac:dyDescent="0.3">
      <c r="D49" s="11"/>
      <c r="E49" s="11"/>
      <c r="F49" s="11"/>
    </row>
  </sheetData>
  <mergeCells count="4">
    <mergeCell ref="B13:I13"/>
    <mergeCell ref="B14:I16"/>
    <mergeCell ref="B17:I19"/>
    <mergeCell ref="F24:G2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DC4CA-E9AB-4CFA-89FB-0AE4D3B56932}">
  <dimension ref="B13:H37"/>
  <sheetViews>
    <sheetView tabSelected="1" topLeftCell="A2" workbookViewId="0">
      <selection activeCell="J14" sqref="J14"/>
    </sheetView>
  </sheetViews>
  <sheetFormatPr baseColWidth="10" defaultRowHeight="14.4" x14ac:dyDescent="0.3"/>
  <sheetData>
    <row r="13" spans="2:6" x14ac:dyDescent="0.3">
      <c r="B13" t="s">
        <v>18</v>
      </c>
    </row>
    <row r="15" spans="2:6" ht="28.8" x14ac:dyDescent="0.3">
      <c r="C15" s="13" t="s">
        <v>19</v>
      </c>
      <c r="D15" s="13" t="s">
        <v>20</v>
      </c>
      <c r="E15" s="13" t="s">
        <v>21</v>
      </c>
      <c r="F15" s="13" t="s">
        <v>22</v>
      </c>
    </row>
    <row r="16" spans="2:6" x14ac:dyDescent="0.3">
      <c r="C16" t="s">
        <v>23</v>
      </c>
      <c r="D16">
        <f>Exacto!C35</f>
        <v>15.584319835435055</v>
      </c>
      <c r="E16" s="9" t="s">
        <v>24</v>
      </c>
      <c r="F16" s="9" t="s">
        <v>24</v>
      </c>
    </row>
    <row r="17" spans="3:8" x14ac:dyDescent="0.3">
      <c r="C17" s="14" t="s">
        <v>25</v>
      </c>
      <c r="D17" s="14">
        <f>Euler!E30</f>
        <v>15.622258240190909</v>
      </c>
      <c r="E17" s="14">
        <f>ABS(D17-D16)</f>
        <v>3.7938404755854194E-2</v>
      </c>
      <c r="F17" s="14">
        <f>ABS(E17/$D$16)*100</f>
        <v>0.24343959285018807</v>
      </c>
    </row>
    <row r="18" spans="3:8" x14ac:dyDescent="0.3">
      <c r="C18" s="15" t="s">
        <v>26</v>
      </c>
      <c r="D18" s="15">
        <f>Heun!D36</f>
        <v>15.545358984634042</v>
      </c>
      <c r="E18" s="15">
        <f>ABS(D18-D16)</f>
        <v>3.8960850801013081E-2</v>
      </c>
      <c r="F18" s="15">
        <f>ABS(E18/$D$16)*100</f>
        <v>0.25000032861508226</v>
      </c>
    </row>
    <row r="21" spans="3:8" x14ac:dyDescent="0.3">
      <c r="C21" s="16" t="s">
        <v>27</v>
      </c>
    </row>
    <row r="23" spans="3:8" ht="14.4" customHeight="1" x14ac:dyDescent="0.3">
      <c r="C23" s="17" t="s">
        <v>33</v>
      </c>
      <c r="D23" s="17"/>
      <c r="E23" s="17"/>
      <c r="F23" s="17"/>
      <c r="G23" s="17"/>
      <c r="H23" s="17"/>
    </row>
    <row r="24" spans="3:8" x14ac:dyDescent="0.3">
      <c r="C24" s="17"/>
      <c r="D24" s="17"/>
      <c r="E24" s="17"/>
      <c r="F24" s="17"/>
      <c r="G24" s="17"/>
      <c r="H24" s="17"/>
    </row>
    <row r="25" spans="3:8" x14ac:dyDescent="0.3">
      <c r="C25" s="17"/>
      <c r="D25" s="17"/>
      <c r="E25" s="17"/>
      <c r="F25" s="17"/>
      <c r="G25" s="17"/>
      <c r="H25" s="17"/>
    </row>
    <row r="26" spans="3:8" x14ac:dyDescent="0.3">
      <c r="C26" s="17"/>
      <c r="D26" s="17"/>
      <c r="E26" s="17"/>
      <c r="F26" s="17"/>
      <c r="G26" s="17"/>
      <c r="H26" s="17"/>
    </row>
    <row r="27" spans="3:8" x14ac:dyDescent="0.3">
      <c r="C27" s="17"/>
      <c r="D27" s="17"/>
      <c r="E27" s="17"/>
      <c r="F27" s="17"/>
      <c r="G27" s="17"/>
      <c r="H27" s="17"/>
    </row>
    <row r="28" spans="3:8" x14ac:dyDescent="0.3">
      <c r="C28" s="17"/>
      <c r="D28" s="17"/>
      <c r="E28" s="17"/>
      <c r="F28" s="17"/>
      <c r="G28" s="17"/>
      <c r="H28" s="17"/>
    </row>
    <row r="29" spans="3:8" x14ac:dyDescent="0.3">
      <c r="C29" s="17"/>
      <c r="D29" s="17"/>
      <c r="E29" s="17"/>
      <c r="F29" s="17"/>
      <c r="G29" s="17"/>
      <c r="H29" s="17"/>
    </row>
    <row r="30" spans="3:8" x14ac:dyDescent="0.3">
      <c r="C30" s="17"/>
      <c r="D30" s="17"/>
      <c r="E30" s="17"/>
      <c r="F30" s="17"/>
      <c r="G30" s="17"/>
      <c r="H30" s="17"/>
    </row>
    <row r="31" spans="3:8" x14ac:dyDescent="0.3">
      <c r="C31" s="18"/>
      <c r="D31" s="18"/>
      <c r="E31" s="18"/>
      <c r="F31" s="18"/>
    </row>
    <row r="32" spans="3:8" ht="14.4" customHeight="1" x14ac:dyDescent="0.3">
      <c r="C32" s="17" t="s">
        <v>34</v>
      </c>
      <c r="D32" s="17"/>
      <c r="E32" s="17"/>
      <c r="F32" s="17"/>
      <c r="G32" s="17"/>
      <c r="H32" s="17"/>
    </row>
    <row r="33" spans="3:8" x14ac:dyDescent="0.3">
      <c r="C33" s="17"/>
      <c r="D33" s="17"/>
      <c r="E33" s="17"/>
      <c r="F33" s="17"/>
      <c r="G33" s="17"/>
      <c r="H33" s="17"/>
    </row>
    <row r="34" spans="3:8" x14ac:dyDescent="0.3">
      <c r="C34" s="17"/>
      <c r="D34" s="17"/>
      <c r="E34" s="17"/>
      <c r="F34" s="17"/>
      <c r="G34" s="17"/>
      <c r="H34" s="17"/>
    </row>
    <row r="35" spans="3:8" x14ac:dyDescent="0.3">
      <c r="C35" s="17"/>
      <c r="D35" s="17"/>
      <c r="E35" s="17"/>
      <c r="F35" s="17"/>
      <c r="G35" s="17"/>
      <c r="H35" s="17"/>
    </row>
    <row r="36" spans="3:8" x14ac:dyDescent="0.3">
      <c r="C36" s="17"/>
      <c r="D36" s="17"/>
      <c r="E36" s="17"/>
      <c r="F36" s="17"/>
      <c r="G36" s="17"/>
      <c r="H36" s="17"/>
    </row>
    <row r="37" spans="3:8" x14ac:dyDescent="0.3">
      <c r="C37" s="17"/>
      <c r="D37" s="17"/>
      <c r="E37" s="17"/>
      <c r="F37" s="17"/>
      <c r="G37" s="17"/>
      <c r="H37" s="17"/>
    </row>
  </sheetData>
  <mergeCells count="2">
    <mergeCell ref="C23:H30"/>
    <mergeCell ref="C32:H3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Euler</vt:lpstr>
      <vt:lpstr>Heun</vt:lpstr>
      <vt:lpstr>Exacto</vt:lpstr>
      <vt:lpstr>Conclusion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</dc:creator>
  <cp:lastModifiedBy>MICHELLE</cp:lastModifiedBy>
  <dcterms:created xsi:type="dcterms:W3CDTF">2025-12-01T18:54:35Z</dcterms:created>
  <dcterms:modified xsi:type="dcterms:W3CDTF">2025-12-01T19:54:21Z</dcterms:modified>
</cp:coreProperties>
</file>